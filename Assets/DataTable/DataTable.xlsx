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4978AFB8-F220-4D81-8AF1-7ECB45991E39}" xr6:coauthVersionLast="47" xr6:coauthVersionMax="47" xr10:uidLastSave="{00000000-0000-0000-0000-000000000000}"/>
  <bookViews>
    <workbookView xWindow="-120" yWindow="-120" windowWidth="29040" windowHeight="15720" activeTab="2" xr2:uid="{00093708-AE6C-4A54-80A8-1C4208CE031C}"/>
  </bookViews>
  <sheets>
    <sheet name="ItemDataTable" sheetId="1" r:id="rId1"/>
    <sheet name="ItemDataTable_Meta" sheetId="7" r:id="rId2"/>
    <sheet name="ProductDataTable" sheetId="3" r:id="rId3"/>
    <sheet name="EventDataTable" sheetId="4" r:id="rId4"/>
    <sheet name="RobotDataTable" sheetId="5" r:id="rId5"/>
    <sheet name="UpgradeDataTabl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7" l="1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<sst xmlns="http://schemas.openxmlformats.org/spreadsheetml/2006/main" count="136" uniqueCount="110">
  <si>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</si>
  <si>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</si>
  <si>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</si>
  <si>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</si>
  <si>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</si>
  <si>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</si>
  <si>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</si>
  <si>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</si>
  <si>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</si>
  <si>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</si>
  <si>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</si>
  <si>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</si>
  <si>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</si>
  <si>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</si>
  <si>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</si>
  <si>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</si>
  <si>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</si>
  <si>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</si>
  <si>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</si>
  <si>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</si>
  <si>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</si>
  <si>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</si>
  <si>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</si>
  <si>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</si>
  <si>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</si>
  <si>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</si>
  <si>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일시적으로 수요가 증가한 것으로 보입니다.</t>
    <phoneticPr fontId="18" type="noConversion"/>
  </si>
  <si>
    <t>DemandDecrease</t>
    <phoneticPr fontId="18" type="noConversion"/>
  </si>
  <si>
    <t>일시적으로 수요가 감소한 것으로 보입니다.</t>
    <phoneticPr fontId="18" type="noConversion"/>
  </si>
  <si>
    <t>DemandSurge</t>
    <phoneticPr fontId="18" type="noConversion"/>
  </si>
  <si>
    <t>수요가 급격히 증가했습니다.</t>
    <phoneticPr fontId="18" type="noConversion"/>
  </si>
  <si>
    <t>DemandCollapse</t>
    <phoneticPr fontId="18" type="noConversion"/>
  </si>
  <si>
    <t>수요가 급격히 감소했습니다.</t>
    <phoneticPr fontId="18" type="noConversion"/>
  </si>
  <si>
    <t>DiseaseOutbreak</t>
    <phoneticPr fontId="18" type="noConversion"/>
  </si>
  <si>
    <t>연구실에서 유해할 수 있는 병원체가 발견되었다는 소식 입니다.</t>
    <phoneticPr fontId="18" type="noConversion"/>
  </si>
  <si>
    <t>DiseaseUnderControl</t>
    <phoneticPr fontId="18" type="noConversion"/>
  </si>
  <si>
    <t>병원균에 대한 연구가 꾸준히 이루어지고 있습니다.</t>
    <phoneticPr fontId="18" type="noConversion"/>
  </si>
  <si>
    <t>DiseaseContained</t>
    <phoneticPr fontId="18" type="noConversion"/>
  </si>
  <si>
    <t>병원균 백신 개발이 성공적으로 이루어졌습니다.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</si>
  <si>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</si>
  <si>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</si>
  <si>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</si>
  <si>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</si>
  <si>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</si>
  <si>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</si>
  <si>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</si>
  <si>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</si>
  <si>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</si>
  <si>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섭취한 사람들로부터 체질 개선이 되었다는 소식입니다.</t>
    <phoneticPr fontId="18" type="noConversion"/>
  </si>
  <si>
    <t>FoodSafetyInvestigation</t>
  </si>
  <si>
    <t>지난 주에 사망한 A씨의 사인에 연관이 있을 것으로 추측됩니다.</t>
    <phoneticPr fontId="18" type="noConversion"/>
  </si>
  <si>
    <t>ClearedOfSuspiction</t>
    <phoneticPr fontId="18" type="noConversion"/>
  </si>
  <si>
    <t>다행히도 A씨의 사인에 직접적인 영향을 끼치진 않았습니다.</t>
    <phoneticPr fontId="18" type="noConversion"/>
  </si>
  <si>
    <t>FestivalSeason</t>
    <phoneticPr fontId="18" type="noConversion"/>
  </si>
  <si>
    <t>축제로 인해 수요가 증가하고 있습니다.</t>
    <phoneticPr fontId="18" type="noConversion"/>
  </si>
  <si>
    <t>HarvestDrive</t>
    <phoneticPr fontId="18" type="noConversion"/>
  </si>
  <si>
    <t>청년들의 지원 사업으로 생산량이 크게 증가했습니다.</t>
    <phoneticPr fontId="18" type="noConversion"/>
  </si>
  <si>
    <t>CauseUnderInvestigation</t>
    <phoneticPr fontId="18" type="noConversion"/>
  </si>
  <si>
    <t>A씨의 사인에 대한 원인 분석이 지연되고 있습니다.</t>
    <phoneticPr fontId="18" type="noConversion"/>
  </si>
  <si>
    <t>DemandIExplosion</t>
    <phoneticPr fontId="18" type="noConversion"/>
  </si>
  <si>
    <t>DemandCrash</t>
    <phoneticPr fontId="18" type="noConversion"/>
  </si>
  <si>
    <t>폭발적인 반응과 함께 수요도 폭발하고 있습니다.</t>
    <phoneticPr fontId="18" type="noConversion"/>
  </si>
  <si>
    <t>무슨 일인지 수요가 폭락하였습니다.</t>
    <phoneticPr fontId="18" type="noConversion"/>
  </si>
  <si>
    <t>PurchaseCost</t>
    <phoneticPr fontId="19" type="noConversion"/>
  </si>
  <si>
    <t>UpgradeType</t>
    <phoneticPr fontId="19" type="noConversion"/>
  </si>
  <si>
    <t>UpgradeCost</t>
    <phoneticPr fontId="19" type="noConversion"/>
  </si>
  <si>
    <t>Value</t>
    <phoneticPr fontId="19" type="noConversion"/>
  </si>
  <si>
    <t>Speed</t>
    <phoneticPr fontId="19" type="noConversion"/>
  </si>
  <si>
    <t>Efficiency</t>
    <phoneticPr fontId="19" type="noConversion"/>
  </si>
  <si>
    <t>Model</t>
    <phoneticPr fontId="19" type="noConversion"/>
  </si>
  <si>
    <t>Player</t>
    <phoneticPr fontId="19" type="noConversion"/>
  </si>
  <si>
    <t>Prototype</t>
    <phoneticPr fontId="18" type="noConversion"/>
  </si>
  <si>
    <t>Alpha</t>
    <phoneticPr fontId="18" type="noConversion"/>
  </si>
  <si>
    <t>Level</t>
    <phoneticPr fontId="19" type="noConversion"/>
  </si>
  <si>
    <t>UpgradeID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</si>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</sst>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Fill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2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F25"/>
  <sheetViews>
    <sheetView topLeftCell="A13" workbookViewId="0">
      <selection activeCell="J16" sqref="J16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8.875" style="2" bestFit="1" customWidth="1"/>
    <col min="8" max="8" width="13.875" style="2" bestFit="1" customWidth="1"/>
    <col min="9" max="16384" width="9" style="2"/>
  </cols>
  <sheetData>
    <row r="1" spans="1:6" s="1" customFormat="1" x14ac:dyDescent="0.3">
      <c r="A1" s="1" t="s">
        <v>0</v>
      </c>
      <c r="B1" s="1" t="s">
        <v>1</v>
      </c>
      <c r="C1" s="1" t="s">
        <v>12</v>
      </c>
      <c r="D1" s="1" t="s">
        <v>97</v>
      </c>
      <c r="E1" s="1" t="s">
        <v>17</v>
      </c>
      <c r="F1" s="1" t="s">
        <v>18</v>
      </c>
    </row>
    <row r="2" spans="1:6" x14ac:dyDescent="0.3">
      <c r="A2" s="2">
        <v>1011</v>
      </c>
      <c r="B2" s="2" t="s">
        <v>89</v>
      </c>
      <c r="C2" s="2" t="s">
        <v>13</v>
      </c>
      <c r="D2" s="2">
        <f>D3*80/100</f>
        <v>800</v>
      </c>
      <c r="E2" s="2">
        <v>200</v>
      </c>
      <c r="F2" s="2">
        <v>-1</v>
      </c>
    </row>
    <row r="3" spans="1:6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</row>
    <row r="4" spans="1:6" x14ac:dyDescent="0.3">
      <c r="A4" s="2">
        <v>1021</v>
      </c>
      <c r="B4" s="2" t="s">
        <v>90</v>
      </c>
      <c r="C4" s="2" t="s">
        <v>13</v>
      </c>
      <c r="D4" s="2">
        <f>D5*80/100</f>
        <v>720</v>
      </c>
      <c r="E4" s="2">
        <v>200</v>
      </c>
      <c r="F4" s="2">
        <v>-1</v>
      </c>
    </row>
    <row r="5" spans="1:6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</row>
    <row r="6" spans="1:6" x14ac:dyDescent="0.3">
      <c r="A6" s="2">
        <v>2011</v>
      </c>
      <c r="B6" s="2" t="s">
        <v>91</v>
      </c>
      <c r="C6" s="2" t="s">
        <v>13</v>
      </c>
      <c r="D6" s="2">
        <f>D7*80/100</f>
        <v>800</v>
      </c>
      <c r="E6" s="2">
        <v>200</v>
      </c>
      <c r="F6" s="2">
        <v>-1</v>
      </c>
    </row>
    <row r="7" spans="1:6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</row>
    <row r="8" spans="1:6" x14ac:dyDescent="0.3">
      <c r="A8" s="2">
        <v>2021</v>
      </c>
      <c r="B8" s="2" t="s">
        <v>92</v>
      </c>
      <c r="C8" s="2" t="s">
        <v>13</v>
      </c>
      <c r="D8" s="2">
        <f>D9*80/100</f>
        <v>880</v>
      </c>
      <c r="E8" s="2">
        <v>200</v>
      </c>
      <c r="F8" s="2">
        <v>-1</v>
      </c>
    </row>
    <row r="9" spans="1:6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</row>
    <row r="10" spans="1:6" x14ac:dyDescent="0.3">
      <c r="A10" s="2">
        <v>3011</v>
      </c>
      <c r="B10" s="2" t="s">
        <v>93</v>
      </c>
      <c r="C10" s="2" t="s">
        <v>13</v>
      </c>
      <c r="D10" s="2">
        <f>D11*80/100</f>
        <v>960</v>
      </c>
      <c r="E10" s="2">
        <v>200</v>
      </c>
      <c r="F10" s="2">
        <v>-1</v>
      </c>
    </row>
    <row r="11" spans="1:6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</row>
    <row r="12" spans="1:6" x14ac:dyDescent="0.3">
      <c r="A12" s="2">
        <v>3021</v>
      </c>
      <c r="B12" s="2" t="s">
        <v>94</v>
      </c>
      <c r="C12" s="2" t="s">
        <v>13</v>
      </c>
      <c r="D12" s="2">
        <f>D13*80/100</f>
        <v>880</v>
      </c>
      <c r="E12" s="2">
        <v>200</v>
      </c>
      <c r="F12" s="2">
        <v>-1</v>
      </c>
    </row>
    <row r="13" spans="1:6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</row>
    <row r="14" spans="1:6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</row>
    <row r="15" spans="1:6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</row>
    <row r="16" spans="1:6" x14ac:dyDescent="0.3">
      <c r="A16" s="2">
        <v>8011</v>
      </c>
      <c r="B16" s="2" t="s">
        <v>81</v>
      </c>
      <c r="C16" s="2" t="s">
        <v>80</v>
      </c>
      <c r="D16" s="2">
        <v>10000</v>
      </c>
      <c r="E16" s="2">
        <v>1</v>
      </c>
      <c r="F16" s="2">
        <v>-1</v>
      </c>
    </row>
    <row r="17" spans="1:6" x14ac:dyDescent="0.3">
      <c r="A17" s="2">
        <v>8012</v>
      </c>
      <c r="B17" s="2" t="s">
        <v>85</v>
      </c>
      <c r="C17" s="2" t="s">
        <v>80</v>
      </c>
      <c r="D17" s="2">
        <v>20000</v>
      </c>
      <c r="E17" s="2">
        <v>1</v>
      </c>
      <c r="F17" s="2">
        <v>-1</v>
      </c>
    </row>
    <row r="18" spans="1:6" x14ac:dyDescent="0.3">
      <c r="A18" s="2">
        <v>8021</v>
      </c>
      <c r="B18" s="2" t="s">
        <v>82</v>
      </c>
      <c r="C18" s="2" t="s">
        <v>80</v>
      </c>
      <c r="D18" s="2">
        <v>10000</v>
      </c>
      <c r="E18" s="2">
        <v>1</v>
      </c>
      <c r="F18" s="2">
        <v>-1</v>
      </c>
    </row>
    <row r="19" spans="1:6" x14ac:dyDescent="0.3">
      <c r="A19" s="2">
        <v>8022</v>
      </c>
      <c r="B19" s="2" t="s">
        <v>86</v>
      </c>
      <c r="C19" s="2" t="s">
        <v>80</v>
      </c>
      <c r="D19" s="2">
        <v>20000</v>
      </c>
      <c r="E19" s="2">
        <v>1</v>
      </c>
      <c r="F19" s="2">
        <v>-1</v>
      </c>
    </row>
    <row r="20" spans="1:6" x14ac:dyDescent="0.3">
      <c r="A20" s="2">
        <v>8031</v>
      </c>
      <c r="B20" s="2" t="s">
        <v>83</v>
      </c>
      <c r="C20" s="2" t="s">
        <v>80</v>
      </c>
      <c r="D20" s="2">
        <v>10000</v>
      </c>
      <c r="E20" s="2">
        <v>1</v>
      </c>
      <c r="F20" s="2">
        <v>-1</v>
      </c>
    </row>
    <row r="21" spans="1:6" x14ac:dyDescent="0.3">
      <c r="A21" s="2">
        <v>8032</v>
      </c>
      <c r="B21" s="2" t="s">
        <v>87</v>
      </c>
      <c r="C21" s="2" t="s">
        <v>80</v>
      </c>
      <c r="D21" s="2">
        <v>20000</v>
      </c>
      <c r="E21" s="2">
        <v>1</v>
      </c>
      <c r="F21" s="2">
        <v>-1</v>
      </c>
    </row>
    <row r="22" spans="1:6" x14ac:dyDescent="0.3">
      <c r="A22" s="2">
        <v>8041</v>
      </c>
      <c r="B22" s="2" t="s">
        <v>84</v>
      </c>
      <c r="C22" s="2" t="s">
        <v>80</v>
      </c>
      <c r="D22" s="2">
        <v>10000</v>
      </c>
      <c r="E22" s="2">
        <v>1</v>
      </c>
      <c r="F22" s="2">
        <v>-1</v>
      </c>
    </row>
    <row r="23" spans="1:6" x14ac:dyDescent="0.3">
      <c r="A23" s="2">
        <v>8042</v>
      </c>
      <c r="B23" s="2" t="s">
        <v>88</v>
      </c>
      <c r="C23" s="2" t="s">
        <v>80</v>
      </c>
      <c r="D23" s="2">
        <v>20000</v>
      </c>
      <c r="E23" s="2">
        <v>1</v>
      </c>
      <c r="F23" s="2">
        <v>-1</v>
      </c>
    </row>
    <row r="24" spans="1:6" x14ac:dyDescent="0.3">
      <c r="A24" s="2">
        <v>9011</v>
      </c>
      <c r="B24" s="2" t="s">
        <v>75</v>
      </c>
      <c r="C24" s="2" t="s">
        <v>76</v>
      </c>
      <c r="D24" s="2">
        <v>50000</v>
      </c>
      <c r="E24" s="2">
        <v>1</v>
      </c>
      <c r="F24" s="2">
        <v>-1</v>
      </c>
    </row>
    <row r="25" spans="1:6" x14ac:dyDescent="0.3">
      <c r="A25" s="2">
        <v>9021</v>
      </c>
      <c r="B25" s="2" t="s">
        <v>77</v>
      </c>
      <c r="C25" s="2" t="s">
        <v>76</v>
      </c>
      <c r="D25" s="2">
        <v>50000</v>
      </c>
      <c r="E25" s="2">
        <v>1</v>
      </c>
      <c r="F25" s="2">
        <v>-1</v>
      </c>
    </row>
  </sheetData>
  <sortState xmlns:xlrd2="http://schemas.microsoft.com/office/spreadsheetml/2017/richdata2" ref="A2:E25">
    <sortCondition ref="A2:A25"/>
  </sortState>
  <phoneticPr fontId="18" type="noConversion"/>
  <conditionalFormatting sqref="A2:A25">
    <cfRule type="expression" dxfId="11" priority="1">
      <formula>AND($A2 &gt;= 9000, $A2 &lt; 10000)</formula>
    </cfRule>
    <cfRule type="expression" dxfId="10" priority="2">
      <formula>AND($A2 &gt;=8000, $A2 &lt; 9000)</formula>
    </cfRule>
    <cfRule type="expression" dxfId="9" priority="3">
      <formula>AND($A2 &gt;= 4000, $A2 &lt; 5000)</formula>
    </cfRule>
    <cfRule type="expression" dxfId="8" priority="4">
      <formula>AND($A2 &gt;= 3000, $A2 &lt; 4000)</formula>
    </cfRule>
    <cfRule type="expression" dxfId="7" priority="5">
      <formula>AND($A2 &gt;= 2000, $A2 &lt; 3000)</formula>
    </cfRule>
    <cfRule type="expression" dxfId="6" priority="6">
      <formula>AND($A2 &gt;= 1000, $A2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sqref="A1:C7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101</v>
      </c>
      <c r="B1" s="1" t="s">
        <v>100</v>
      </c>
      <c r="C1" s="1" t="s">
        <v>99</v>
      </c>
    </row>
    <row r="2" spans="1:3" x14ac:dyDescent="0.3">
      <c r="A2" s="5" t="str" cm="1">
        <f t="array" ref="A2:A7">TRANSPOSE(ItemDataTable!A1:F1)</f>
        <v>ItemID</v>
      </c>
      <c r="B2" s="5" t="s">
        <v>102</v>
      </c>
      <c r="C2" s="2" t="s">
        <v>104</v>
      </c>
    </row>
    <row r="3" spans="1:3" x14ac:dyDescent="0.3">
      <c r="A3" s="5" t="str">
        <v>ItemName</v>
      </c>
      <c r="B3" s="2" t="s">
        <v>103</v>
      </c>
      <c r="C3" s="2" t="s">
        <v>105</v>
      </c>
    </row>
    <row r="4" spans="1:3" x14ac:dyDescent="0.3">
      <c r="A4" s="5" t="str">
        <v>ItemType</v>
      </c>
      <c r="B4" s="2" t="s">
        <v>109</v>
      </c>
      <c r="C4" s="2" t="s">
        <v>105</v>
      </c>
    </row>
    <row r="5" spans="1:3" x14ac:dyDescent="0.3">
      <c r="A5" s="5" t="str">
        <v>BasicPrice</v>
      </c>
      <c r="B5" s="2" t="s">
        <v>106</v>
      </c>
      <c r="C5" s="2" t="s">
        <v>104</v>
      </c>
    </row>
    <row r="6" spans="1:3" x14ac:dyDescent="0.3">
      <c r="A6" s="5" t="str">
        <v>Stack</v>
      </c>
      <c r="B6" s="2" t="s">
        <v>107</v>
      </c>
      <c r="C6" s="2" t="s">
        <v>104</v>
      </c>
    </row>
    <row r="7" spans="1:3" x14ac:dyDescent="0.3">
      <c r="A7" s="5" t="str">
        <v>StoragePeriod</v>
      </c>
      <c r="B7" s="2" t="s">
        <v>108</v>
      </c>
      <c r="C7" s="2" t="s">
        <v>104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tabSelected="1" workbookViewId="0">
      <selection activeCell="N18" sqref="N18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98</v>
      </c>
      <c r="F1" s="1" t="s">
        <v>3</v>
      </c>
      <c r="G1" s="1" t="s">
        <v>96</v>
      </c>
      <c r="H1" s="1" t="s">
        <v>95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5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0"/>
  <sheetViews>
    <sheetView workbookViewId="0">
      <selection activeCell="L13" sqref="L13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59.87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26</v>
      </c>
    </row>
    <row r="3" spans="1:5" x14ac:dyDescent="0.3">
      <c r="A3" s="2">
        <v>102</v>
      </c>
      <c r="B3" s="2" t="s">
        <v>27</v>
      </c>
      <c r="C3" s="2">
        <v>-0.01</v>
      </c>
      <c r="D3" s="2">
        <v>0</v>
      </c>
      <c r="E3" s="2" t="s">
        <v>28</v>
      </c>
    </row>
    <row r="4" spans="1:5" x14ac:dyDescent="0.3">
      <c r="A4" s="2">
        <v>103</v>
      </c>
      <c r="B4" s="2" t="s">
        <v>29</v>
      </c>
      <c r="C4" s="2">
        <v>0.03</v>
      </c>
      <c r="D4" s="2">
        <v>0</v>
      </c>
      <c r="E4" s="2" t="s">
        <v>30</v>
      </c>
    </row>
    <row r="5" spans="1:5" x14ac:dyDescent="0.3">
      <c r="A5" s="2">
        <v>104</v>
      </c>
      <c r="B5" s="2" t="s">
        <v>31</v>
      </c>
      <c r="C5" s="2">
        <v>-0.03</v>
      </c>
      <c r="D5" s="2">
        <v>0</v>
      </c>
      <c r="E5" s="2" t="s">
        <v>32</v>
      </c>
    </row>
    <row r="6" spans="1:5" x14ac:dyDescent="0.3">
      <c r="A6" s="2">
        <v>105</v>
      </c>
      <c r="B6" s="2" t="s">
        <v>59</v>
      </c>
      <c r="C6" s="2">
        <v>0.05</v>
      </c>
      <c r="D6" s="2">
        <v>0</v>
      </c>
      <c r="E6" s="2" t="s">
        <v>61</v>
      </c>
    </row>
    <row r="7" spans="1:5" x14ac:dyDescent="0.3">
      <c r="A7" s="2">
        <v>106</v>
      </c>
      <c r="B7" s="2" t="s">
        <v>60</v>
      </c>
      <c r="C7" s="2">
        <v>-0.05</v>
      </c>
      <c r="D7" s="2">
        <v>0</v>
      </c>
      <c r="E7" s="2" t="s">
        <v>62</v>
      </c>
    </row>
    <row r="8" spans="1:5" x14ac:dyDescent="0.3">
      <c r="A8" s="2">
        <v>201</v>
      </c>
      <c r="B8" s="2" t="s">
        <v>33</v>
      </c>
      <c r="C8" s="2">
        <v>-0.03</v>
      </c>
      <c r="D8" s="2">
        <v>0</v>
      </c>
      <c r="E8" s="2" t="s">
        <v>34</v>
      </c>
    </row>
    <row r="9" spans="1:5" x14ac:dyDescent="0.3">
      <c r="A9" s="2">
        <v>202</v>
      </c>
      <c r="B9" s="2" t="s">
        <v>35</v>
      </c>
      <c r="C9" s="2">
        <v>0.01</v>
      </c>
      <c r="D9" s="2">
        <v>201</v>
      </c>
      <c r="E9" s="2" t="s">
        <v>36</v>
      </c>
    </row>
    <row r="10" spans="1:5" x14ac:dyDescent="0.3">
      <c r="A10" s="2">
        <v>203</v>
      </c>
      <c r="B10" s="2" t="s">
        <v>37</v>
      </c>
      <c r="C10" s="2">
        <v>0.02</v>
      </c>
      <c r="D10" s="2">
        <v>202</v>
      </c>
      <c r="E10" s="2" t="s">
        <v>38</v>
      </c>
    </row>
    <row r="11" spans="1:5" x14ac:dyDescent="0.3">
      <c r="A11" s="2">
        <v>211</v>
      </c>
      <c r="B11" s="2" t="s">
        <v>39</v>
      </c>
      <c r="C11" s="2">
        <v>0.05</v>
      </c>
      <c r="D11" s="2">
        <v>0</v>
      </c>
      <c r="E11" s="2" t="s">
        <v>40</v>
      </c>
    </row>
    <row r="12" spans="1:5" x14ac:dyDescent="0.3">
      <c r="A12" s="2">
        <v>212</v>
      </c>
      <c r="B12" s="2" t="s">
        <v>41</v>
      </c>
      <c r="C12" s="2">
        <v>-0.05</v>
      </c>
      <c r="D12" s="2">
        <v>0</v>
      </c>
      <c r="E12" s="2" t="s">
        <v>42</v>
      </c>
    </row>
    <row r="13" spans="1:5" x14ac:dyDescent="0.3">
      <c r="A13" s="2">
        <v>213</v>
      </c>
      <c r="B13" s="2" t="s">
        <v>43</v>
      </c>
      <c r="C13" s="2">
        <v>0.03</v>
      </c>
      <c r="D13" s="2">
        <v>0</v>
      </c>
      <c r="E13" s="2" t="s">
        <v>44</v>
      </c>
    </row>
    <row r="14" spans="1:5" x14ac:dyDescent="0.3">
      <c r="A14" s="2">
        <v>214</v>
      </c>
      <c r="B14" s="2" t="s">
        <v>45</v>
      </c>
      <c r="C14" s="2">
        <v>-0.03</v>
      </c>
      <c r="D14" s="2">
        <v>213</v>
      </c>
      <c r="E14" s="2" t="s">
        <v>46</v>
      </c>
    </row>
    <row r="15" spans="1:5" x14ac:dyDescent="0.3">
      <c r="A15" s="2">
        <v>301</v>
      </c>
      <c r="B15" s="2" t="s">
        <v>47</v>
      </c>
      <c r="C15" s="2">
        <v>0.03</v>
      </c>
      <c r="D15" s="2">
        <v>0</v>
      </c>
      <c r="E15" s="2" t="s">
        <v>48</v>
      </c>
    </row>
    <row r="16" spans="1:5" x14ac:dyDescent="0.3">
      <c r="A16" s="2">
        <v>302</v>
      </c>
      <c r="B16" s="2" t="s">
        <v>49</v>
      </c>
      <c r="C16" s="2">
        <v>-0.03</v>
      </c>
      <c r="D16" s="2">
        <v>0</v>
      </c>
      <c r="E16" s="2" t="s">
        <v>50</v>
      </c>
    </row>
    <row r="17" spans="1:5" x14ac:dyDescent="0.3">
      <c r="A17" s="2">
        <v>303</v>
      </c>
      <c r="B17" s="2" t="s">
        <v>51</v>
      </c>
      <c r="C17" s="2">
        <v>0.04</v>
      </c>
      <c r="D17" s="2">
        <v>302</v>
      </c>
      <c r="E17" s="2" t="s">
        <v>52</v>
      </c>
    </row>
    <row r="18" spans="1:5" x14ac:dyDescent="0.3">
      <c r="A18" s="2">
        <v>304</v>
      </c>
      <c r="B18" s="2" t="s">
        <v>57</v>
      </c>
      <c r="C18" s="2">
        <v>-0.02</v>
      </c>
      <c r="D18" s="2">
        <v>302</v>
      </c>
      <c r="E18" s="2" t="s">
        <v>58</v>
      </c>
    </row>
    <row r="19" spans="1:5" x14ac:dyDescent="0.3">
      <c r="A19" s="2">
        <v>311</v>
      </c>
      <c r="B19" s="2" t="s">
        <v>53</v>
      </c>
      <c r="C19" s="2">
        <v>0.04</v>
      </c>
      <c r="D19" s="2">
        <v>0</v>
      </c>
      <c r="E19" s="2" t="s">
        <v>54</v>
      </c>
    </row>
    <row r="20" spans="1:5" x14ac:dyDescent="0.3">
      <c r="A20" s="2">
        <v>312</v>
      </c>
      <c r="B20" s="2" t="s">
        <v>55</v>
      </c>
      <c r="C20" s="2">
        <v>-0.03</v>
      </c>
      <c r="D20" s="2">
        <v>0</v>
      </c>
      <c r="E20" s="2" t="s">
        <v>56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4" priority="1">
      <formula>AND(A2 &gt; 300, A2 &lt; 400)</formula>
    </cfRule>
    <cfRule type="expression" dxfId="3" priority="2">
      <formula>AND(A2 &gt; 200, A2 &lt; 300)</formula>
    </cfRule>
    <cfRule type="expression" dxfId="2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F4"/>
  <sheetViews>
    <sheetView workbookViewId="0">
      <selection activeCell="I8" sqref="I8:J9"/>
    </sheetView>
  </sheetViews>
  <sheetFormatPr defaultRowHeight="16.5" x14ac:dyDescent="0.3"/>
  <cols>
    <col min="1" max="1" width="9.75" style="3" bestFit="1" customWidth="1"/>
    <col min="2" max="2" width="13.125" style="3" bestFit="1" customWidth="1"/>
    <col min="3" max="3" width="8.375" style="3" bestFit="1" customWidth="1"/>
    <col min="4" max="4" width="7.25" style="3" bestFit="1" customWidth="1"/>
    <col min="5" max="5" width="12.875" style="3" bestFit="1" customWidth="1"/>
    <col min="6" max="6" width="10.5" style="3" bestFit="1" customWidth="1"/>
    <col min="7" max="9" width="6.75" style="3" bestFit="1" customWidth="1"/>
    <col min="10" max="16384" width="9" style="3"/>
  </cols>
  <sheetData>
    <row r="1" spans="1:6" s="1" customFormat="1" x14ac:dyDescent="0.3">
      <c r="A1" s="1" t="s">
        <v>69</v>
      </c>
      <c r="B1" s="1" t="s">
        <v>63</v>
      </c>
      <c r="C1" s="1" t="s">
        <v>78</v>
      </c>
      <c r="D1" s="1" t="s">
        <v>79</v>
      </c>
      <c r="E1" s="1" t="s">
        <v>67</v>
      </c>
      <c r="F1" s="4" t="s">
        <v>68</v>
      </c>
    </row>
    <row r="2" spans="1:6" x14ac:dyDescent="0.3">
      <c r="A2" s="3" t="s">
        <v>70</v>
      </c>
      <c r="B2" s="3">
        <v>0</v>
      </c>
      <c r="C2" s="3">
        <v>5</v>
      </c>
      <c r="D2" s="3">
        <v>3</v>
      </c>
      <c r="E2" s="3">
        <v>0.5</v>
      </c>
      <c r="F2" s="3">
        <v>2</v>
      </c>
    </row>
    <row r="3" spans="1:6" x14ac:dyDescent="0.3">
      <c r="A3" s="3" t="s">
        <v>71</v>
      </c>
      <c r="B3" s="3">
        <v>10000</v>
      </c>
      <c r="C3" s="3">
        <v>20</v>
      </c>
      <c r="D3" s="3">
        <v>2</v>
      </c>
      <c r="E3" s="3">
        <v>4</v>
      </c>
      <c r="F3" s="3">
        <v>6</v>
      </c>
    </row>
    <row r="4" spans="1:6" x14ac:dyDescent="0.3">
      <c r="A4" s="3" t="s">
        <v>72</v>
      </c>
      <c r="B4" s="3">
        <v>20000</v>
      </c>
      <c r="C4" s="3">
        <v>40</v>
      </c>
      <c r="D4" s="3">
        <v>5</v>
      </c>
      <c r="E4" s="3">
        <v>2</v>
      </c>
      <c r="F4" s="3">
        <v>4</v>
      </c>
    </row>
  </sheetData>
  <phoneticPr fontId="18" type="noConversion"/>
  <conditionalFormatting sqref="A1:A1048576">
    <cfRule type="expression" dxfId="1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91B3-9102-4FF1-A4AF-13D65BEE1B70}">
  <dimension ref="A1:F13"/>
  <sheetViews>
    <sheetView workbookViewId="0">
      <selection activeCell="D27" sqref="D12:M27"/>
    </sheetView>
  </sheetViews>
  <sheetFormatPr defaultRowHeight="16.5" x14ac:dyDescent="0.3"/>
  <cols>
    <col min="1" max="1" width="10.875" style="2" bestFit="1" customWidth="1"/>
    <col min="2" max="2" width="9.75" style="2" bestFit="1" customWidth="1"/>
    <col min="3" max="3" width="5.75" style="2" bestFit="1" customWidth="1"/>
    <col min="4" max="4" width="13.125" style="2" bestFit="1" customWidth="1"/>
    <col min="5" max="5" width="12.875" style="2" bestFit="1" customWidth="1"/>
    <col min="6" max="6" width="6.375" style="2" bestFit="1" customWidth="1"/>
    <col min="7" max="16384" width="9" style="2"/>
  </cols>
  <sheetData>
    <row r="1" spans="1:6" s="1" customFormat="1" x14ac:dyDescent="0.3">
      <c r="A1" s="1" t="s">
        <v>74</v>
      </c>
      <c r="B1" s="1" t="s">
        <v>69</v>
      </c>
      <c r="C1" s="1" t="s">
        <v>73</v>
      </c>
      <c r="D1" s="1" t="s">
        <v>64</v>
      </c>
      <c r="E1" s="1" t="s">
        <v>65</v>
      </c>
      <c r="F1" s="1" t="s">
        <v>66</v>
      </c>
    </row>
    <row r="2" spans="1:6" x14ac:dyDescent="0.3">
      <c r="B2" s="3"/>
      <c r="C2" s="3"/>
      <c r="D2" s="3"/>
      <c r="E2" s="3"/>
      <c r="F2" s="3"/>
    </row>
    <row r="3" spans="1:6" x14ac:dyDescent="0.3">
      <c r="B3" s="3"/>
      <c r="C3" s="3"/>
      <c r="D3" s="3"/>
      <c r="E3" s="3"/>
      <c r="F3" s="3"/>
    </row>
    <row r="4" spans="1:6" x14ac:dyDescent="0.3">
      <c r="B4" s="3"/>
      <c r="C4" s="3"/>
      <c r="D4" s="3"/>
      <c r="E4" s="3"/>
      <c r="F4" s="3"/>
    </row>
    <row r="5" spans="1:6" x14ac:dyDescent="0.3">
      <c r="B5" s="3"/>
      <c r="C5" s="3"/>
      <c r="D5" s="3"/>
      <c r="E5" s="3"/>
      <c r="F5" s="3"/>
    </row>
    <row r="6" spans="1:6" x14ac:dyDescent="0.3">
      <c r="B6" s="3"/>
      <c r="C6" s="3"/>
      <c r="D6" s="3"/>
      <c r="E6" s="3"/>
      <c r="F6" s="3"/>
    </row>
    <row r="7" spans="1:6" x14ac:dyDescent="0.3">
      <c r="B7" s="3"/>
      <c r="C7" s="3"/>
      <c r="D7" s="3"/>
      <c r="E7" s="3"/>
      <c r="F7" s="3"/>
    </row>
    <row r="8" spans="1:6" x14ac:dyDescent="0.3">
      <c r="B8" s="3"/>
      <c r="C8" s="3"/>
      <c r="D8" s="3"/>
      <c r="E8" s="3"/>
      <c r="F8" s="3"/>
    </row>
    <row r="9" spans="1:6" x14ac:dyDescent="0.3">
      <c r="B9" s="3"/>
      <c r="C9" s="3"/>
      <c r="D9" s="3"/>
      <c r="E9" s="3"/>
      <c r="F9" s="3"/>
    </row>
    <row r="10" spans="1:6" x14ac:dyDescent="0.3">
      <c r="B10" s="3"/>
      <c r="C10" s="3"/>
      <c r="D10" s="3"/>
      <c r="E10" s="3"/>
      <c r="F10" s="3"/>
    </row>
    <row r="11" spans="1:6" x14ac:dyDescent="0.3">
      <c r="B11" s="3"/>
      <c r="C11" s="3"/>
      <c r="D11" s="3"/>
      <c r="E11" s="3"/>
      <c r="F11" s="3"/>
    </row>
    <row r="12" spans="1:6" x14ac:dyDescent="0.3">
      <c r="B12" s="3"/>
      <c r="C12" s="3"/>
      <c r="D12" s="3"/>
      <c r="E12" s="3"/>
      <c r="F12" s="3"/>
    </row>
    <row r="13" spans="1:6" x14ac:dyDescent="0.3">
      <c r="B13" s="3"/>
      <c r="C13" s="3"/>
      <c r="D13" s="3"/>
      <c r="E13" s="3"/>
      <c r="F13" s="3"/>
    </row>
  </sheetData>
  <sortState xmlns:xlrd2="http://schemas.microsoft.com/office/spreadsheetml/2017/richdata2" ref="B2:F6">
    <sortCondition descending="1" ref="B2:B6"/>
  </sortState>
  <phoneticPr fontId="18" type="noConversion"/>
  <conditionalFormatting sqref="B1:B13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ItemDataTable</vt:lpstr>
      <vt:lpstr>ItemDataTable_Meta</vt:lpstr>
      <vt:lpstr>ProductDataTable</vt:lpstr>
      <vt:lpstr>EventDataTable</vt:lpstr>
      <vt:lpstr>RobotDataTable</vt:lpstr>
      <vt:lpstr>UpgradeDataTable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2026-03-11T15:58:05Z</cp:lastPrinted>
  <dcterms:created xsi:type="dcterms:W3CDTF">2026-02-24T15:34:59Z</dcterms:created>
  <dcterms:modified xsi:type="dcterms:W3CDTF">2026-03-11T15:58:43Z</dcterms:modified>
</cp:coreProperties>
</file>