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688725DA-CC48-4963-A11D-215BA8DEC5D5}" xr6:coauthVersionLast="47" xr6:coauthVersionMax="47" xr10:uidLastSave="{00000000-0000-0000-0000-000000000000}"/>
  <bookViews>
    <workbookView xWindow="-120" yWindow="-120" windowWidth="29040" windowHeight="15720" tabRatio="742" xr2:uid="{00093708-AE6C-4A54-80A8-1C4208CE031C}"/>
  </bookViews>
  <sheets>
    <sheet name="ItemDataTable" sheetId="1" r:id="rId1"/>
    <sheet name="ItemDataTable_Meta" sheetId="7" r:id="rId2"/>
    <sheet name="ProductDataTable" sheetId="3" r:id="rId3"/>
    <sheet name="ProductDataTable_Meta" sheetId="8" r:id="rId4"/>
    <sheet name="EventDataTable" sheetId="4" r:id="rId5"/>
    <sheet name="RobotDataTable" sheetId="5" r:id="rId6"/>
    <sheet name="UpgradeDataTable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 a="1"/>
  <c r="A2" i="8" s="1"/>
  <c r="A2" i="7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<sst xmlns="http://schemas.openxmlformats.org/spreadsheetml/2006/main" count="162" uniqueCount="123">
  <si>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</si>
  <si>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</si>
  <si>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</si>
  <si>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</si>
  <si>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</si>
  <si>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</si>
  <si>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</si>
  <si>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</si>
  <si>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</si>
  <si>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</si>
  <si>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</si>
  <si>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</si>
  <si>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</si>
  <si>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</si>
  <si>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</si>
  <si>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</si>
  <si>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</si>
  <si>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</si>
  <si>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</si>
  <si>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</si>
  <si>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</si>
  <si>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</si>
  <si>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</si>
  <si>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</si>
  <si>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</si>
  <si>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</si>
  <si>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</si>
  <si>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</si>
  <si>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</si>
  <si>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</si>
  <si>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</si>
  <si>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</si>
  <si>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</si>
  <si>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</si>
  <si>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</si>
  <si>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</si>
  <si>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</si>
  <si>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</si>
  <si>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</si>
  <si>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</si>
  <si>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</si>
  <si>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</si>
  <si>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</si>
  <si>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</si>
  <si>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</si>
  <si>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</si>
  <si>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</si>
  <si>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</si>
  <si>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PurchaseCost</t>
    <phoneticPr fontId="19" type="noConversion"/>
  </si>
  <si>
    <t>UpgradeType</t>
    <phoneticPr fontId="19" type="noConversion"/>
  </si>
  <si>
    <t>UpgradeCost</t>
    <phoneticPr fontId="19" type="noConversion"/>
  </si>
  <si>
    <t>Value</t>
    <phoneticPr fontId="19" type="noConversion"/>
  </si>
  <si>
    <t>Speed</t>
    <phoneticPr fontId="19" type="noConversion"/>
  </si>
  <si>
    <t>Efficiency</t>
    <phoneticPr fontId="19" type="noConversion"/>
  </si>
  <si>
    <t>Model</t>
    <phoneticPr fontId="19" type="noConversion"/>
  </si>
  <si>
    <t>Player</t>
    <phoneticPr fontId="19" type="noConversion"/>
  </si>
  <si>
    <t>Prototype</t>
    <phoneticPr fontId="18" type="noConversion"/>
  </si>
  <si>
    <t>Alpha</t>
    <phoneticPr fontId="18" type="noConversion"/>
  </si>
  <si>
    <t>Level</t>
    <phoneticPr fontId="19" type="noConversion"/>
  </si>
  <si>
    <t>UpgradeID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</si>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</sst>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4">
    <dxf>
      <fill>
        <patternFill>
          <bgColor theme="3" tint="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0070C0"/>
        </patternFill>
      </fill>
    </dxf>
    <dxf>
      <fill>
        <patternFill>
          <bgColor theme="8" tint="0.59996337778862885"/>
        </patternFill>
      </fill>
    </dxf>
    <dxf>
      <fill>
        <patternFill>
          <bgColor rgb="FFFFC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27"/>
  <sheetViews>
    <sheetView tabSelected="1" workbookViewId="0">
      <selection activeCell="J17" sqref="J17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82</v>
      </c>
      <c r="E1" s="1" t="s">
        <v>17</v>
      </c>
      <c r="F1" s="1" t="s">
        <v>18</v>
      </c>
      <c r="G1" s="1" t="s">
        <v>120</v>
      </c>
    </row>
    <row r="2" spans="1:7" x14ac:dyDescent="0.3">
      <c r="A2" s="2">
        <v>1011</v>
      </c>
      <c r="B2" s="2" t="s">
        <v>74</v>
      </c>
      <c r="C2" s="2" t="s">
        <v>13</v>
      </c>
      <c r="D2" s="2">
        <f>D3*80/100</f>
        <v>800</v>
      </c>
      <c r="E2" s="2">
        <v>200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50</v>
      </c>
      <c r="F3" s="2">
        <v>30</v>
      </c>
      <c r="G3" s="2">
        <v>0</v>
      </c>
    </row>
    <row r="4" spans="1:7" x14ac:dyDescent="0.3">
      <c r="A4" s="2">
        <v>1021</v>
      </c>
      <c r="B4" s="2" t="s">
        <v>75</v>
      </c>
      <c r="C4" s="2" t="s">
        <v>13</v>
      </c>
      <c r="D4" s="2">
        <f>D5*80/100</f>
        <v>720</v>
      </c>
      <c r="E4" s="2">
        <v>200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50</v>
      </c>
      <c r="F5" s="2">
        <v>30</v>
      </c>
      <c r="G5" s="2">
        <v>1</v>
      </c>
    </row>
    <row r="6" spans="1:7" x14ac:dyDescent="0.3">
      <c r="A6" s="2">
        <v>2011</v>
      </c>
      <c r="B6" s="2" t="s">
        <v>76</v>
      </c>
      <c r="C6" s="2" t="s">
        <v>13</v>
      </c>
      <c r="D6" s="2">
        <f>D7*80/100</f>
        <v>800</v>
      </c>
      <c r="E6" s="2">
        <v>200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50</v>
      </c>
      <c r="F7" s="2">
        <v>20</v>
      </c>
      <c r="G7" s="2">
        <v>1</v>
      </c>
    </row>
    <row r="8" spans="1:7" x14ac:dyDescent="0.3">
      <c r="A8" s="2">
        <v>2021</v>
      </c>
      <c r="B8" s="2" t="s">
        <v>77</v>
      </c>
      <c r="C8" s="2" t="s">
        <v>13</v>
      </c>
      <c r="D8" s="2">
        <f>D9*80/100</f>
        <v>880</v>
      </c>
      <c r="E8" s="2">
        <v>200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50</v>
      </c>
      <c r="F9" s="2">
        <v>20</v>
      </c>
      <c r="G9" s="2">
        <v>0</v>
      </c>
    </row>
    <row r="10" spans="1:7" x14ac:dyDescent="0.3">
      <c r="A10" s="2">
        <v>3011</v>
      </c>
      <c r="B10" s="2" t="s">
        <v>78</v>
      </c>
      <c r="C10" s="2" t="s">
        <v>13</v>
      </c>
      <c r="D10" s="2">
        <f>D11*80/100</f>
        <v>960</v>
      </c>
      <c r="E10" s="2">
        <v>200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50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79</v>
      </c>
      <c r="C12" s="2" t="s">
        <v>13</v>
      </c>
      <c r="D12" s="2">
        <f>D13*80/100</f>
        <v>880</v>
      </c>
      <c r="E12" s="2">
        <v>200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50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  <c r="G15" s="2">
        <v>1</v>
      </c>
    </row>
    <row r="16" spans="1:7" x14ac:dyDescent="0.3">
      <c r="A16" s="2">
        <v>5001</v>
      </c>
      <c r="B16" s="2" t="s">
        <v>119</v>
      </c>
      <c r="C16" s="2" t="s">
        <v>119</v>
      </c>
      <c r="D16" s="2">
        <v>0</v>
      </c>
      <c r="E16" s="2">
        <v>1</v>
      </c>
      <c r="F16" s="2">
        <v>-1</v>
      </c>
      <c r="G16" s="2">
        <v>1</v>
      </c>
    </row>
    <row r="17" spans="1:7" x14ac:dyDescent="0.3">
      <c r="A17" s="2">
        <v>7011</v>
      </c>
      <c r="B17" s="2" t="s">
        <v>121</v>
      </c>
      <c r="C17" s="2" t="s">
        <v>122</v>
      </c>
      <c r="D17" s="2">
        <v>1000</v>
      </c>
      <c r="E17" s="2">
        <v>1</v>
      </c>
      <c r="F17" s="2">
        <v>-1</v>
      </c>
      <c r="G17" s="2">
        <v>1</v>
      </c>
    </row>
    <row r="18" spans="1:7" x14ac:dyDescent="0.3">
      <c r="A18" s="2">
        <v>8011</v>
      </c>
      <c r="B18" s="2" t="s">
        <v>66</v>
      </c>
      <c r="C18" s="2" t="s">
        <v>65</v>
      </c>
      <c r="D18" s="2">
        <v>10000</v>
      </c>
      <c r="E18" s="2">
        <v>1</v>
      </c>
      <c r="F18" s="2">
        <v>-1</v>
      </c>
      <c r="G18" s="2">
        <v>1</v>
      </c>
    </row>
    <row r="19" spans="1:7" x14ac:dyDescent="0.3">
      <c r="A19" s="2">
        <v>8012</v>
      </c>
      <c r="B19" s="2" t="s">
        <v>70</v>
      </c>
      <c r="C19" s="2" t="s">
        <v>65</v>
      </c>
      <c r="D19" s="2">
        <v>20000</v>
      </c>
      <c r="E19" s="2">
        <v>1</v>
      </c>
      <c r="F19" s="2">
        <v>-1</v>
      </c>
      <c r="G19" s="2">
        <v>0</v>
      </c>
    </row>
    <row r="20" spans="1:7" x14ac:dyDescent="0.3">
      <c r="A20" s="2">
        <v>8021</v>
      </c>
      <c r="B20" s="2" t="s">
        <v>67</v>
      </c>
      <c r="C20" s="2" t="s">
        <v>65</v>
      </c>
      <c r="D20" s="2">
        <v>10000</v>
      </c>
      <c r="E20" s="2">
        <v>1</v>
      </c>
      <c r="F20" s="2">
        <v>-1</v>
      </c>
      <c r="G20" s="2">
        <v>1</v>
      </c>
    </row>
    <row r="21" spans="1:7" x14ac:dyDescent="0.3">
      <c r="A21" s="2">
        <v>8022</v>
      </c>
      <c r="B21" s="2" t="s">
        <v>71</v>
      </c>
      <c r="C21" s="2" t="s">
        <v>65</v>
      </c>
      <c r="D21" s="2">
        <v>20000</v>
      </c>
      <c r="E21" s="2">
        <v>1</v>
      </c>
      <c r="F21" s="2">
        <v>-1</v>
      </c>
      <c r="G21" s="2">
        <v>0</v>
      </c>
    </row>
    <row r="22" spans="1:7" x14ac:dyDescent="0.3">
      <c r="A22" s="2">
        <v>8031</v>
      </c>
      <c r="B22" s="2" t="s">
        <v>68</v>
      </c>
      <c r="C22" s="2" t="s">
        <v>65</v>
      </c>
      <c r="D22" s="2">
        <v>10000</v>
      </c>
      <c r="E22" s="2">
        <v>1</v>
      </c>
      <c r="F22" s="2">
        <v>-1</v>
      </c>
      <c r="G22" s="2">
        <v>1</v>
      </c>
    </row>
    <row r="23" spans="1:7" x14ac:dyDescent="0.3">
      <c r="A23" s="2">
        <v>8032</v>
      </c>
      <c r="B23" s="2" t="s">
        <v>72</v>
      </c>
      <c r="C23" s="2" t="s">
        <v>65</v>
      </c>
      <c r="D23" s="2">
        <v>20000</v>
      </c>
      <c r="E23" s="2">
        <v>1</v>
      </c>
      <c r="F23" s="2">
        <v>-1</v>
      </c>
      <c r="G23" s="2">
        <v>0</v>
      </c>
    </row>
    <row r="24" spans="1:7" x14ac:dyDescent="0.3">
      <c r="A24" s="2">
        <v>8041</v>
      </c>
      <c r="B24" s="2" t="s">
        <v>69</v>
      </c>
      <c r="C24" s="2" t="s">
        <v>65</v>
      </c>
      <c r="D24" s="2">
        <v>10000</v>
      </c>
      <c r="E24" s="2">
        <v>1</v>
      </c>
      <c r="F24" s="2">
        <v>-1</v>
      </c>
      <c r="G24" s="2">
        <v>1</v>
      </c>
    </row>
    <row r="25" spans="1:7" x14ac:dyDescent="0.3">
      <c r="A25" s="2">
        <v>8042</v>
      </c>
      <c r="B25" s="2" t="s">
        <v>73</v>
      </c>
      <c r="C25" s="2" t="s">
        <v>65</v>
      </c>
      <c r="D25" s="2">
        <v>20000</v>
      </c>
      <c r="E25" s="2">
        <v>1</v>
      </c>
      <c r="F25" s="2">
        <v>-1</v>
      </c>
      <c r="G25" s="2">
        <v>0</v>
      </c>
    </row>
    <row r="26" spans="1:7" x14ac:dyDescent="0.3">
      <c r="A26" s="2">
        <v>9011</v>
      </c>
      <c r="B26" s="2" t="s">
        <v>60</v>
      </c>
      <c r="C26" s="2" t="s">
        <v>61</v>
      </c>
      <c r="D26" s="2">
        <v>50000</v>
      </c>
      <c r="E26" s="2">
        <v>1</v>
      </c>
      <c r="F26" s="2">
        <v>-1</v>
      </c>
      <c r="G26" s="2">
        <v>1</v>
      </c>
    </row>
    <row r="27" spans="1:7" x14ac:dyDescent="0.3">
      <c r="A27" s="2">
        <v>9021</v>
      </c>
      <c r="B27" s="2" t="s">
        <v>62</v>
      </c>
      <c r="C27" s="2" t="s">
        <v>61</v>
      </c>
      <c r="D27" s="2">
        <v>50000</v>
      </c>
      <c r="E27" s="2">
        <v>1</v>
      </c>
      <c r="F27" s="2">
        <v>-1</v>
      </c>
      <c r="G27" s="2">
        <v>1</v>
      </c>
    </row>
  </sheetData>
  <sortState xmlns:xlrd2="http://schemas.microsoft.com/office/spreadsheetml/2017/richdata2" ref="A2:G27">
    <sortCondition ref="A2:A27"/>
  </sortState>
  <phoneticPr fontId="18" type="noConversion"/>
  <conditionalFormatting sqref="A1:A1048576">
    <cfRule type="expression" dxfId="1" priority="2">
      <formula>AND($A1 &gt;= 5000, $A1 &lt; 6000)</formula>
    </cfRule>
    <cfRule type="expression" dxfId="2" priority="3">
      <formula>AND($A1 &gt;= 9000, $A1 &lt; 10000)</formula>
    </cfRule>
    <cfRule type="expression" dxfId="3" priority="4">
      <formula>AND($A1 &gt;=8000, $A1 &lt; 9000)</formula>
    </cfRule>
    <cfRule type="expression" dxfId="4" priority="5">
      <formula>AND($A1 &gt;= 4000, $A1 &lt; 5000)</formula>
    </cfRule>
    <cfRule type="expression" dxfId="5" priority="6">
      <formula>AND($A1 &gt;= 3000, $A1 &lt; 4000)</formula>
    </cfRule>
    <cfRule type="expression" dxfId="6" priority="7">
      <formula>AND($A1 &gt;= 2000, $A1 &lt; 3000)</formula>
    </cfRule>
    <cfRule type="expression" dxfId="7" priority="8">
      <formula>AND($A1 &gt;= 1000, $A1 &lt; 2000)</formula>
    </cfRule>
    <cfRule type="expression" dxfId="0" priority="1">
      <formula>AND($A1 &gt;= 7000, $A1 &lt; 8000)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G12" sqref="G12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86</v>
      </c>
      <c r="B1" s="1" t="s">
        <v>85</v>
      </c>
      <c r="C1" s="1" t="s">
        <v>84</v>
      </c>
    </row>
    <row r="2" spans="1:3" x14ac:dyDescent="0.3">
      <c r="A2" s="2" t="str" cm="1">
        <f t="array" ref="A2:A7">TRANSPOSE(ItemDataTable!A1:F1)</f>
        <v>ItemID</v>
      </c>
      <c r="B2" s="2" t="s">
        <v>87</v>
      </c>
      <c r="C2" s="2" t="s">
        <v>89</v>
      </c>
    </row>
    <row r="3" spans="1:3" x14ac:dyDescent="0.3">
      <c r="A3" s="2" t="str">
        <v>ItemName</v>
      </c>
      <c r="B3" s="2" t="s">
        <v>88</v>
      </c>
      <c r="C3" s="2" t="s">
        <v>90</v>
      </c>
    </row>
    <row r="4" spans="1:3" x14ac:dyDescent="0.3">
      <c r="A4" s="2" t="str">
        <v>ItemType</v>
      </c>
      <c r="B4" s="2" t="s">
        <v>94</v>
      </c>
      <c r="C4" s="2" t="s">
        <v>118</v>
      </c>
    </row>
    <row r="5" spans="1:3" x14ac:dyDescent="0.3">
      <c r="A5" s="2" t="str">
        <v>BasicPrice</v>
      </c>
      <c r="B5" s="2" t="s">
        <v>91</v>
      </c>
      <c r="C5" s="2" t="s">
        <v>89</v>
      </c>
    </row>
    <row r="6" spans="1:3" x14ac:dyDescent="0.3">
      <c r="A6" s="2" t="str">
        <v>Stack</v>
      </c>
      <c r="B6" s="2" t="s">
        <v>92</v>
      </c>
      <c r="C6" s="2" t="s">
        <v>89</v>
      </c>
    </row>
    <row r="7" spans="1:3" x14ac:dyDescent="0.3">
      <c r="A7" s="2" t="str">
        <v>StoragePeriod</v>
      </c>
      <c r="B7" s="2" t="s">
        <v>93</v>
      </c>
      <c r="C7" s="2" t="s">
        <v>110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H15" sqref="H15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83</v>
      </c>
      <c r="F1" s="1" t="s">
        <v>3</v>
      </c>
      <c r="G1" s="1" t="s">
        <v>81</v>
      </c>
      <c r="H1" s="1" t="s">
        <v>80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13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J14" sqref="J14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86</v>
      </c>
      <c r="B1" s="5" t="s">
        <v>85</v>
      </c>
      <c r="C1" s="5" t="s">
        <v>84</v>
      </c>
    </row>
    <row r="2" spans="1:3" x14ac:dyDescent="0.3">
      <c r="A2" t="str" cm="1">
        <f t="array" ref="A2:A10">TRANSPOSE(ProductDataTable!A1:I1)</f>
        <v>ItemID</v>
      </c>
      <c r="B2" t="s">
        <v>87</v>
      </c>
      <c r="C2" t="s">
        <v>89</v>
      </c>
    </row>
    <row r="3" spans="1:3" x14ac:dyDescent="0.3">
      <c r="A3" t="str">
        <v>ItemName</v>
      </c>
      <c r="B3" t="s">
        <v>88</v>
      </c>
      <c r="C3" t="s">
        <v>90</v>
      </c>
    </row>
    <row r="4" spans="1:3" x14ac:dyDescent="0.3">
      <c r="A4" t="str">
        <v>ItemType</v>
      </c>
      <c r="B4" t="s">
        <v>111</v>
      </c>
      <c r="C4" t="s">
        <v>118</v>
      </c>
    </row>
    <row r="5" spans="1:3" x14ac:dyDescent="0.3">
      <c r="A5" t="str">
        <v>PriceStdDev</v>
      </c>
      <c r="B5" t="s">
        <v>112</v>
      </c>
      <c r="C5" t="s">
        <v>110</v>
      </c>
    </row>
    <row r="6" spans="1:3" x14ac:dyDescent="0.3">
      <c r="A6" t="str">
        <v>BasicPrice</v>
      </c>
      <c r="B6" t="s">
        <v>113</v>
      </c>
      <c r="C6" t="s">
        <v>89</v>
      </c>
    </row>
    <row r="7" spans="1:3" x14ac:dyDescent="0.3">
      <c r="A7" t="str">
        <v>GrowthTime</v>
      </c>
      <c r="B7" t="s">
        <v>114</v>
      </c>
      <c r="C7" t="s">
        <v>89</v>
      </c>
    </row>
    <row r="8" spans="1:3" x14ac:dyDescent="0.3">
      <c r="A8" t="str">
        <v>MaxYield</v>
      </c>
      <c r="B8" t="s">
        <v>115</v>
      </c>
      <c r="C8" t="s">
        <v>89</v>
      </c>
    </row>
    <row r="9" spans="1:3" x14ac:dyDescent="0.3">
      <c r="A9" t="str">
        <v>MinYield</v>
      </c>
      <c r="B9" t="s">
        <v>116</v>
      </c>
      <c r="C9" t="s">
        <v>89</v>
      </c>
    </row>
    <row r="10" spans="1:3" x14ac:dyDescent="0.3">
      <c r="A10" t="str">
        <v>WaterConsumption</v>
      </c>
      <c r="B10" t="s">
        <v>117</v>
      </c>
      <c r="C10" t="s">
        <v>89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0"/>
  <sheetViews>
    <sheetView workbookViewId="0">
      <selection activeCell="G13" sqref="G13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95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96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97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98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99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100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103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101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102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104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105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109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106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107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108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12" priority="1">
      <formula>AND(A2 &gt; 300, A2 &lt; 400)</formula>
    </cfRule>
    <cfRule type="expression" dxfId="11" priority="2">
      <formula>AND(A2 &gt; 200, A2 &lt; 300)</formula>
    </cfRule>
    <cfRule type="expression" dxfId="10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F4"/>
  <sheetViews>
    <sheetView workbookViewId="0">
      <selection activeCell="E8" sqref="E8"/>
    </sheetView>
  </sheetViews>
  <sheetFormatPr defaultRowHeight="16.5" x14ac:dyDescent="0.3"/>
  <cols>
    <col min="1" max="1" width="9.75" style="3" bestFit="1" customWidth="1"/>
    <col min="2" max="2" width="13.125" style="3" bestFit="1" customWidth="1"/>
    <col min="3" max="3" width="8.375" style="3" bestFit="1" customWidth="1"/>
    <col min="4" max="4" width="7.25" style="3" bestFit="1" customWidth="1"/>
    <col min="5" max="5" width="12.875" style="3" bestFit="1" customWidth="1"/>
    <col min="6" max="6" width="10.5" style="3" bestFit="1" customWidth="1"/>
    <col min="7" max="9" width="6.75" style="3" bestFit="1" customWidth="1"/>
    <col min="10" max="16384" width="9" style="3"/>
  </cols>
  <sheetData>
    <row r="1" spans="1:6" s="1" customFormat="1" x14ac:dyDescent="0.3">
      <c r="A1" s="1" t="s">
        <v>54</v>
      </c>
      <c r="B1" s="1" t="s">
        <v>48</v>
      </c>
      <c r="C1" s="1" t="s">
        <v>63</v>
      </c>
      <c r="D1" s="1" t="s">
        <v>64</v>
      </c>
      <c r="E1" s="1" t="s">
        <v>52</v>
      </c>
      <c r="F1" s="4" t="s">
        <v>53</v>
      </c>
    </row>
    <row r="2" spans="1:6" x14ac:dyDescent="0.3">
      <c r="A2" s="3" t="s">
        <v>55</v>
      </c>
      <c r="B2" s="3">
        <v>0</v>
      </c>
      <c r="C2" s="3">
        <v>5</v>
      </c>
      <c r="D2" s="3">
        <v>3</v>
      </c>
      <c r="E2" s="3">
        <v>0.5</v>
      </c>
      <c r="F2" s="3">
        <v>2</v>
      </c>
    </row>
    <row r="3" spans="1:6" x14ac:dyDescent="0.3">
      <c r="A3" s="3" t="s">
        <v>56</v>
      </c>
      <c r="B3" s="3">
        <v>10000</v>
      </c>
      <c r="C3" s="3">
        <v>20</v>
      </c>
      <c r="D3" s="3">
        <v>2</v>
      </c>
      <c r="E3" s="3">
        <v>4</v>
      </c>
      <c r="F3" s="3">
        <v>6</v>
      </c>
    </row>
    <row r="4" spans="1:6" x14ac:dyDescent="0.3">
      <c r="A4" s="3" t="s">
        <v>57</v>
      </c>
      <c r="B4" s="3">
        <v>20000</v>
      </c>
      <c r="C4" s="3">
        <v>40</v>
      </c>
      <c r="D4" s="3">
        <v>5</v>
      </c>
      <c r="E4" s="3">
        <v>2</v>
      </c>
      <c r="F4" s="3">
        <v>4</v>
      </c>
    </row>
  </sheetData>
  <phoneticPr fontId="18" type="noConversion"/>
  <conditionalFormatting sqref="A1:A1048576">
    <cfRule type="expression" dxfId="9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291B3-9102-4FF1-A4AF-13D65BEE1B70}">
  <dimension ref="A1:F13"/>
  <sheetViews>
    <sheetView workbookViewId="0">
      <selection activeCell="M24" sqref="M24"/>
    </sheetView>
  </sheetViews>
  <sheetFormatPr defaultRowHeight="16.5" x14ac:dyDescent="0.3"/>
  <cols>
    <col min="1" max="1" width="10.875" style="2" bestFit="1" customWidth="1"/>
    <col min="2" max="2" width="9.75" style="2" bestFit="1" customWidth="1"/>
    <col min="3" max="3" width="5.75" style="2" bestFit="1" customWidth="1"/>
    <col min="4" max="4" width="13.125" style="2" bestFit="1" customWidth="1"/>
    <col min="5" max="5" width="12.875" style="2" bestFit="1" customWidth="1"/>
    <col min="6" max="6" width="6.375" style="2" bestFit="1" customWidth="1"/>
    <col min="7" max="16384" width="9" style="2"/>
  </cols>
  <sheetData>
    <row r="1" spans="1:6" s="1" customFormat="1" x14ac:dyDescent="0.3">
      <c r="A1" s="1" t="s">
        <v>59</v>
      </c>
      <c r="B1" s="1" t="s">
        <v>54</v>
      </c>
      <c r="C1" s="1" t="s">
        <v>58</v>
      </c>
      <c r="D1" s="1" t="s">
        <v>49</v>
      </c>
      <c r="E1" s="1" t="s">
        <v>50</v>
      </c>
      <c r="F1" s="1" t="s">
        <v>51</v>
      </c>
    </row>
    <row r="2" spans="1:6" x14ac:dyDescent="0.3">
      <c r="B2" s="3"/>
      <c r="C2" s="3"/>
      <c r="D2" s="3"/>
      <c r="E2" s="3"/>
      <c r="F2" s="3"/>
    </row>
    <row r="3" spans="1:6" x14ac:dyDescent="0.3">
      <c r="B3" s="3"/>
      <c r="C3" s="3"/>
      <c r="D3" s="3"/>
      <c r="E3" s="3"/>
      <c r="F3" s="3"/>
    </row>
    <row r="4" spans="1:6" x14ac:dyDescent="0.3">
      <c r="B4" s="3"/>
      <c r="C4" s="3"/>
      <c r="D4" s="3"/>
      <c r="E4" s="3"/>
      <c r="F4" s="3"/>
    </row>
    <row r="5" spans="1:6" x14ac:dyDescent="0.3">
      <c r="B5" s="3"/>
      <c r="C5" s="3"/>
      <c r="D5" s="3"/>
      <c r="E5" s="3"/>
      <c r="F5" s="3"/>
    </row>
    <row r="6" spans="1:6" x14ac:dyDescent="0.3">
      <c r="B6" s="3"/>
      <c r="C6" s="3"/>
      <c r="D6" s="3"/>
      <c r="E6" s="3"/>
      <c r="F6" s="3"/>
    </row>
    <row r="7" spans="1:6" x14ac:dyDescent="0.3">
      <c r="B7" s="3"/>
      <c r="C7" s="3"/>
      <c r="D7" s="3"/>
      <c r="E7" s="3"/>
      <c r="F7" s="3"/>
    </row>
    <row r="8" spans="1:6" x14ac:dyDescent="0.3">
      <c r="B8" s="3"/>
      <c r="C8" s="3"/>
      <c r="D8" s="3"/>
      <c r="E8" s="3"/>
      <c r="F8" s="3"/>
    </row>
    <row r="9" spans="1:6" x14ac:dyDescent="0.3">
      <c r="B9" s="3"/>
      <c r="C9" s="3"/>
      <c r="D9" s="3"/>
      <c r="E9" s="3"/>
      <c r="F9" s="3"/>
    </row>
    <row r="10" spans="1:6" x14ac:dyDescent="0.3">
      <c r="B10" s="3"/>
      <c r="C10" s="3"/>
      <c r="D10" s="3"/>
      <c r="E10" s="3"/>
      <c r="F10" s="3"/>
    </row>
    <row r="11" spans="1:6" x14ac:dyDescent="0.3">
      <c r="B11" s="3"/>
      <c r="C11" s="3"/>
      <c r="D11" s="3"/>
      <c r="E11" s="3"/>
      <c r="F11" s="3"/>
    </row>
    <row r="12" spans="1:6" x14ac:dyDescent="0.3">
      <c r="B12" s="3"/>
      <c r="C12" s="3"/>
      <c r="D12" s="3"/>
      <c r="E12" s="3"/>
      <c r="F12" s="3"/>
    </row>
    <row r="13" spans="1:6" x14ac:dyDescent="0.3">
      <c r="B13" s="3"/>
      <c r="C13" s="3"/>
      <c r="D13" s="3"/>
      <c r="E13" s="3"/>
      <c r="F13" s="3"/>
    </row>
  </sheetData>
  <sortState xmlns:xlrd2="http://schemas.microsoft.com/office/spreadsheetml/2017/richdata2" ref="B2:F6">
    <sortCondition descending="1" ref="B2:B6"/>
  </sortState>
  <phoneticPr fontId="18" type="noConversion"/>
  <conditionalFormatting sqref="B1:B13">
    <cfRule type="expression" dxfId="8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ItemDataTable</vt:lpstr>
      <vt:lpstr>ItemDataTable_Meta</vt:lpstr>
      <vt:lpstr>ProductDataTable</vt:lpstr>
      <vt:lpstr>ProductDataTable_Meta</vt:lpstr>
      <vt:lpstr>EventDataTable</vt:lpstr>
      <vt:lpstr>RobotDataTable</vt:lpstr>
      <vt:lpstr>UpgradeDataTable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2026-03-11T15:58:05Z</cp:lastPrinted>
  <dcterms:created xsi:type="dcterms:W3CDTF">2026-02-24T15:34:59Z</dcterms:created>
  <dcterms:modified xsi:type="dcterms:W3CDTF">2026-03-21T05:37:56Z</dcterms:modified>
</cp:coreProperties>
</file>