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mcbj1\Desktop\데이터테이블\"/>
    </mc:Choice>
  </mc:AlternateContent>
  <xr:revisionPtr revIDLastSave="0" documentId="13_ncr:1_{751A38E9-33A7-4E82-83A7-282AFA983D76}" xr6:coauthVersionLast="47" xr6:coauthVersionMax="47" xr10:uidLastSave="{00000000-0000-0000-0000-000000000000}"/>
  <bookViews>
    <workbookView xWindow="-120" yWindow="-120" windowWidth="29040" windowHeight="15720" tabRatio="890" firstSheet="4" activeTab="11" xr2:uid="{00093708-AE6C-4A54-80A8-1C4208CE031C}"/>
  </bookViews>
  <sheets>
    <sheet name="ItemDataTable" sheetId="1" r:id="rId1"/>
    <sheet name="ItemDataTable_Meta" sheetId="7" r:id="rId2"/>
    <sheet name="ProductDataTable" sheetId="3" r:id="rId3"/>
    <sheet name="ProductDataTable_Meta" sheetId="8" r:id="rId4"/>
    <sheet name="ObjectDataTable" sheetId="5" r:id="rId5"/>
    <sheet name="ObjectDataTable_Meta" sheetId="12" r:id="rId6"/>
    <sheet name="EventDataTable" sheetId="4" r:id="rId7"/>
    <sheet name="KeycodeDataTable" sheetId="13" r:id="rId8"/>
    <sheet name="LocalizationTable" sheetId="15" r:id="rId9"/>
    <sheet name="Calculator" sheetId="14" r:id="rId10"/>
    <sheet name="BIC_ScenarioDataTable" sheetId="11" r:id="rId11"/>
    <sheet name="ConfigDataTable" sheetId="18" r:id="rId12"/>
    <sheet name="ConfigDataTable_Edit" sheetId="16" r:id="rId13"/>
    <sheet name="ConfigDataTable_Meta" sheetId="17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 a="1"/>
  <c r="A1" i="17" a="1"/>
  <c r="A2" i="12" a="1"/>
  <c r="E4" i="14"/>
  <c r="C6" i="14"/>
  <c r="F6" i="14"/>
  <c r="B4" i="14"/>
  <c r="C4" i="14"/>
  <c r="B2" i="3"/>
  <c r="D12" i="1"/>
  <c r="D8" i="1"/>
  <c r="D6" i="1"/>
  <c r="D2" i="1"/>
  <c r="A2" i="8" a="1"/>
  <c r="A2" i="7" a="1"/>
  <c r="C2" i="3"/>
  <c r="C3" i="3"/>
  <c r="C4" i="3"/>
  <c r="C5" i="3"/>
  <c r="C6" i="3"/>
  <c r="C7" i="3"/>
  <c r="C8" i="3"/>
  <c r="B3" i="3"/>
  <c r="B4" i="3"/>
  <c r="B5" i="3"/>
  <c r="B6" i="3"/>
  <c r="B7" i="3"/>
  <c r="B8" i="3"/>
  <c r="D4" i="14" l="1"/>
  <c r="F4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<sst xmlns="http://schemas.openxmlformats.org/spreadsheetml/2006/main" count="882" uniqueCount="492">
  <si>
    <t>PriceStdDev</t>
  </si>
  <si>
    <t>GrowthTime</t>
  </si>
  <si>
    <t>Potato</t>
  </si>
  <si>
    <t>Carrot</t>
  </si>
  <si>
    <t>Strawberry</t>
  </si>
  <si>
    <t>Milk</t>
  </si>
  <si>
    <t>Corn</t>
    <phoneticPr fontId="18" type="noConversion"/>
  </si>
  <si>
    <t>Onion</t>
    <phoneticPr fontId="18" type="noConversion"/>
  </si>
  <si>
    <t>BlueBerry</t>
    <phoneticPr fontId="18" type="noConversion"/>
  </si>
  <si>
    <t>Seed</t>
    <phoneticPr fontId="18" type="noConversion"/>
  </si>
  <si>
    <t>Product</t>
    <phoneticPr fontId="18" type="noConversion"/>
  </si>
  <si>
    <t>Bottle</t>
    <phoneticPr fontId="18" type="noConversion"/>
  </si>
  <si>
    <t>Material</t>
    <phoneticPr fontId="18" type="noConversion"/>
  </si>
  <si>
    <t>Stack</t>
    <phoneticPr fontId="18" type="noConversion"/>
  </si>
  <si>
    <t>StoragePeriod</t>
    <phoneticPr fontId="18" type="noConversion"/>
  </si>
  <si>
    <t>Average</t>
    <phoneticPr fontId="18" type="noConversion"/>
  </si>
  <si>
    <t>Linkage</t>
    <phoneticPr fontId="18" type="noConversion"/>
  </si>
  <si>
    <t>Text</t>
    <phoneticPr fontId="18" type="noConversion"/>
  </si>
  <si>
    <t>DemandIncrease</t>
    <phoneticPr fontId="18" type="noConversion"/>
  </si>
  <si>
    <t>DemandDecrease</t>
    <phoneticPr fontId="18" type="noConversion"/>
  </si>
  <si>
    <t>DemandSurge</t>
    <phoneticPr fontId="18" type="noConversion"/>
  </si>
  <si>
    <t>DemandCollapse</t>
    <phoneticPr fontId="18" type="noConversion"/>
  </si>
  <si>
    <t>DiseaseOutbreak</t>
    <phoneticPr fontId="18" type="noConversion"/>
  </si>
  <si>
    <t>DiseaseUnderControl</t>
    <phoneticPr fontId="18" type="noConversion"/>
  </si>
  <si>
    <t>DiseaseContained</t>
    <phoneticPr fontId="18" type="noConversion"/>
  </si>
  <si>
    <t>PoorHarvest</t>
    <phoneticPr fontId="18" type="noConversion"/>
  </si>
  <si>
    <t>흉작으로 인해 식량 부족 위기라는 보도입니다.</t>
    <phoneticPr fontId="18" type="noConversion"/>
  </si>
  <si>
    <t>GoodHarvest</t>
    <phoneticPr fontId="18" type="noConversion"/>
  </si>
  <si>
    <t>풍작으로 인해 시장에 식량이 많이 모였습니다.</t>
    <phoneticPr fontId="18" type="noConversion"/>
  </si>
  <si>
    <t>AgriculturalStrike</t>
    <phoneticPr fontId="18" type="noConversion"/>
  </si>
  <si>
    <t>농업 단체에서 집단 파업이 발생했습니다.</t>
    <phoneticPr fontId="18" type="noConversion"/>
  </si>
  <si>
    <t>GovernmentSupport</t>
    <phoneticPr fontId="18" type="noConversion"/>
  </si>
  <si>
    <t>정부에서 농업 단체의 요구를 들어줄 것을 약속했습니다.</t>
    <phoneticPr fontId="18" type="noConversion"/>
  </si>
  <si>
    <t>HealthTrend</t>
    <phoneticPr fontId="18" type="noConversion"/>
  </si>
  <si>
    <t>FoodSafetyInvestigation</t>
  </si>
  <si>
    <t>ClearedOfSuspiction</t>
    <phoneticPr fontId="18" type="noConversion"/>
  </si>
  <si>
    <t>FestivalSeason</t>
    <phoneticPr fontId="18" type="noConversion"/>
  </si>
  <si>
    <t>HarvestDrive</t>
    <phoneticPr fontId="18" type="noConversion"/>
  </si>
  <si>
    <t>CauseUnderInvestigation</t>
    <phoneticPr fontId="18" type="noConversion"/>
  </si>
  <si>
    <t>DemandIExplosion</t>
    <phoneticPr fontId="18" type="noConversion"/>
  </si>
  <si>
    <t>DemandCrash</t>
    <phoneticPr fontId="18" type="noConversion"/>
  </si>
  <si>
    <t>Speed</t>
    <phoneticPr fontId="19" type="noConversion"/>
  </si>
  <si>
    <t>Player</t>
    <phoneticPr fontId="19" type="noConversion"/>
  </si>
  <si>
    <t>Prototype</t>
    <phoneticPr fontId="18" type="noConversion"/>
  </si>
  <si>
    <t>Storage</t>
    <phoneticPr fontId="18" type="noConversion"/>
  </si>
  <si>
    <t>BuildingKit</t>
    <phoneticPr fontId="18" type="noConversion"/>
  </si>
  <si>
    <t>Barn</t>
    <phoneticPr fontId="18" type="noConversion"/>
  </si>
  <si>
    <t>MainInv</t>
    <phoneticPr fontId="19" type="noConversion"/>
  </si>
  <si>
    <t>SubInv</t>
    <phoneticPr fontId="19" type="noConversion"/>
  </si>
  <si>
    <t>UpgPerk</t>
    <phoneticPr fontId="18" type="noConversion"/>
  </si>
  <si>
    <t>MainInvLv1</t>
    <phoneticPr fontId="18" type="noConversion"/>
  </si>
  <si>
    <t>SubInvLv1</t>
    <phoneticPr fontId="18" type="noConversion"/>
  </si>
  <si>
    <t>SpeedLv1</t>
    <phoneticPr fontId="18" type="noConversion"/>
  </si>
  <si>
    <t>EfficLv1</t>
    <phoneticPr fontId="18" type="noConversion"/>
  </si>
  <si>
    <t>MainInvLv2</t>
    <phoneticPr fontId="18" type="noConversion"/>
  </si>
  <si>
    <t>SubInvLv2</t>
    <phoneticPr fontId="18" type="noConversion"/>
  </si>
  <si>
    <t>SpeedLv2</t>
    <phoneticPr fontId="18" type="noConversion"/>
  </si>
  <si>
    <t>EfficLv2</t>
    <phoneticPr fontId="18" type="noConversion"/>
  </si>
  <si>
    <t>CornSeed</t>
    <phoneticPr fontId="18" type="noConversion"/>
  </si>
  <si>
    <t>PotatoSeed</t>
    <phoneticPr fontId="18" type="noConversion"/>
  </si>
  <si>
    <t>CarrotSeed</t>
    <phoneticPr fontId="18" type="noConversion"/>
  </si>
  <si>
    <t>OnionSeed</t>
    <phoneticPr fontId="18" type="noConversion"/>
  </si>
  <si>
    <t>StrawberrySeed</t>
    <phoneticPr fontId="18" type="noConversion"/>
  </si>
  <si>
    <t>BlueBerrySeed</t>
    <phoneticPr fontId="18" type="noConversion"/>
  </si>
  <si>
    <t>MinYield</t>
    <phoneticPr fontId="18" type="noConversion"/>
  </si>
  <si>
    <t>MaxYield</t>
    <phoneticPr fontId="18" type="noConversion"/>
  </si>
  <si>
    <t>BasicPrice</t>
    <phoneticPr fontId="18" type="noConversion"/>
  </si>
  <si>
    <t>Type</t>
    <phoneticPr fontId="18" type="noConversion"/>
  </si>
  <si>
    <t>Description</t>
    <phoneticPr fontId="18" type="noConversion"/>
  </si>
  <si>
    <t>Column</t>
    <phoneticPr fontId="18" type="noConversion"/>
  </si>
  <si>
    <t>아이템 일련번호</t>
    <phoneticPr fontId="18" type="noConversion"/>
  </si>
  <si>
    <t>아이템 이름</t>
    <phoneticPr fontId="18" type="noConversion"/>
  </si>
  <si>
    <t>int</t>
    <phoneticPr fontId="18" type="noConversion"/>
  </si>
  <si>
    <t>string</t>
    <phoneticPr fontId="18" type="noConversion"/>
  </si>
  <si>
    <t>아이템 기준 가격, 원가</t>
    <phoneticPr fontId="18" type="noConversion"/>
  </si>
  <si>
    <t>한 슬롯에 쌓을 수 있는 최대 아이템 수량</t>
    <phoneticPr fontId="18" type="noConversion"/>
  </si>
  <si>
    <t>아이템 보관 기간(일 단위, -1은 영구 보관)</t>
    <phoneticPr fontId="18" type="noConversion"/>
  </si>
  <si>
    <t>아이템 분류 타입(Seed, Product, Kit 등)</t>
    <phoneticPr fontId="18" type="noConversion"/>
  </si>
  <si>
    <t>{ItemName}의 수요가 일시적으로 증가한 것으로 보입니다.</t>
    <phoneticPr fontId="18" type="noConversion"/>
  </si>
  <si>
    <t>{ItemName}의 수요가 일시적으로 감소한 것으로 보입니다.</t>
    <phoneticPr fontId="18" type="noConversion"/>
  </si>
  <si>
    <t>{ItemName}의 수요가 급격히 증가했습니다.</t>
    <phoneticPr fontId="18" type="noConversion"/>
  </si>
  <si>
    <t>{ItemName}의 수요가 급격히 감소했습니다.</t>
    <phoneticPr fontId="18" type="noConversion"/>
  </si>
  <si>
    <t>폭발적인 반응과 함께 {ItemName}의 수요도 폭발하고 있습니다.</t>
    <phoneticPr fontId="18" type="noConversion"/>
  </si>
  <si>
    <t>무슨 일인지 {ItemName}의 수요가 폭락하였습니다.</t>
    <phoneticPr fontId="18" type="noConversion"/>
  </si>
  <si>
    <t>아가레아산 {ItemName}에서 발견되었다는 병원균에 대한 연구가 꾸준히 이루어지고 있습니다.</t>
    <phoneticPr fontId="18" type="noConversion"/>
  </si>
  <si>
    <t>드디어 {ItemName}의 병원균 백신 개발이 성공적으로 이루어졌습니다.</t>
    <phoneticPr fontId="18" type="noConversion"/>
  </si>
  <si>
    <t>식품 연구소에서 온 보도인데요, 유해할 수 있는 병원균이 아가레아산 {ItemName}에서 발견되었다는 소식 입니다.</t>
    <phoneticPr fontId="18" type="noConversion"/>
  </si>
  <si>
    <t>{ItemName}을(를) 섭취한 사람들로부터 체질 개선이 되었다는 소식입니다.</t>
    <phoneticPr fontId="18" type="noConversion"/>
  </si>
  <si>
    <t>지난 주에 사망한 A씨의 사인에 그가 구매했던 {ItemName}이 주된 원인이라는 의혹이 나오고 있습니다.</t>
    <phoneticPr fontId="18" type="noConversion"/>
  </si>
  <si>
    <t>A씨의 사인에 대한 원인 분석이 지연되고 있습니다. 그에 따라 {ItemName}의 가격도 지속적으로 하락하고 있습니다.</t>
    <phoneticPr fontId="18" type="noConversion"/>
  </si>
  <si>
    <t>{ItemName} 축제로 인해 수요가 증가하고 있습니다.</t>
    <phoneticPr fontId="18" type="noConversion"/>
  </si>
  <si>
    <t>청년들의 지원 사업으로 {ItemName}의 생산량이 크게 증가했습니다.</t>
    <phoneticPr fontId="18" type="noConversion"/>
  </si>
  <si>
    <t>다행히도 {ItemName}은(는) A씨의 사인에 직접적인 영향을 끼치진 않았습니다.</t>
    <phoneticPr fontId="18" type="noConversion"/>
  </si>
  <si>
    <t>float</t>
    <phoneticPr fontId="18" type="noConversion"/>
  </si>
  <si>
    <t>아이템 분류 타입</t>
    <phoneticPr fontId="18" type="noConversion"/>
  </si>
  <si>
    <t>가격 변동 표준편차</t>
    <phoneticPr fontId="18" type="noConversion"/>
  </si>
  <si>
    <t>원가</t>
    <phoneticPr fontId="18" type="noConversion"/>
  </si>
  <si>
    <t>성장 시간</t>
    <phoneticPr fontId="18" type="noConversion"/>
  </si>
  <si>
    <t>최대 수확량</t>
    <phoneticPr fontId="18" type="noConversion"/>
  </si>
  <si>
    <t>최소 수확량</t>
    <phoneticPr fontId="18" type="noConversion"/>
  </si>
  <si>
    <t>수분 소모량</t>
    <phoneticPr fontId="18" type="noConversion"/>
  </si>
  <si>
    <t>enum</t>
    <phoneticPr fontId="18" type="noConversion"/>
  </si>
  <si>
    <t>Water</t>
    <phoneticPr fontId="18" type="noConversion"/>
  </si>
  <si>
    <t>UseToDemo</t>
    <phoneticPr fontId="18" type="noConversion"/>
  </si>
  <si>
    <t>BatteryLv1</t>
    <phoneticPr fontId="18" type="noConversion"/>
  </si>
  <si>
    <t>Battery</t>
    <phoneticPr fontId="18" type="noConversion"/>
  </si>
  <si>
    <t>Cow</t>
    <phoneticPr fontId="18" type="noConversion"/>
  </si>
  <si>
    <t>Cattle</t>
    <phoneticPr fontId="18" type="noConversion"/>
  </si>
  <si>
    <t>PC</t>
    <phoneticPr fontId="18" type="noConversion"/>
  </si>
  <si>
    <t>NPC</t>
    <phoneticPr fontId="18" type="noConversion"/>
  </si>
  <si>
    <t>Chicken</t>
    <phoneticPr fontId="18" type="noConversion"/>
  </si>
  <si>
    <t>WorkDuration</t>
    <phoneticPr fontId="19" type="noConversion"/>
  </si>
  <si>
    <t>오브젝트 일련번호</t>
    <phoneticPr fontId="18" type="noConversion"/>
  </si>
  <si>
    <t>오브젝트 이름</t>
    <phoneticPr fontId="18" type="noConversion"/>
  </si>
  <si>
    <t>오브젝트 분류 타입(PC, NPC 등)</t>
    <phoneticPr fontId="18" type="noConversion"/>
  </si>
  <si>
    <t>오브젝트 구매 가격</t>
    <phoneticPr fontId="18" type="noConversion"/>
  </si>
  <si>
    <t>오브젝트의 메인 인벤토리 기본 수량</t>
    <phoneticPr fontId="18" type="noConversion"/>
  </si>
  <si>
    <t>오브젝트의 서브 인벤토리 기본 수량</t>
    <phoneticPr fontId="18" type="noConversion"/>
  </si>
  <si>
    <t>오브젝트가 한 칸 이동할 때 걸리는 시간(초)</t>
    <phoneticPr fontId="18" type="noConversion"/>
  </si>
  <si>
    <t>오브젝트가 일을 할 때 걸리는 시간(초)</t>
    <phoneticPr fontId="18" type="noConversion"/>
  </si>
  <si>
    <t>오브젝트가 하루동안 생산할 수 있는 아이템 수량</t>
    <phoneticPr fontId="18" type="noConversion"/>
  </si>
  <si>
    <t>TargetUI</t>
  </si>
  <si>
    <t>IsRebindable</t>
    <phoneticPr fontId="18" type="noConversion"/>
  </si>
  <si>
    <t>Mouse0</t>
    <phoneticPr fontId="18" type="noConversion"/>
  </si>
  <si>
    <t>PC_Interaction</t>
    <phoneticPr fontId="18" type="noConversion"/>
  </si>
  <si>
    <t>Mouse1</t>
    <phoneticPr fontId="18" type="noConversion"/>
  </si>
  <si>
    <t>PC_Movement</t>
    <phoneticPr fontId="18" type="noConversion"/>
  </si>
  <si>
    <t>C</t>
    <phoneticPr fontId="18" type="noConversion"/>
  </si>
  <si>
    <t>PopUp_Chart</t>
    <phoneticPr fontId="18" type="noConversion"/>
  </si>
  <si>
    <t>PopUp_Shop</t>
    <phoneticPr fontId="18" type="noConversion"/>
  </si>
  <si>
    <t>R</t>
    <phoneticPr fontId="18" type="noConversion"/>
  </si>
  <si>
    <t>PopUp_Robot</t>
    <phoneticPr fontId="18" type="noConversion"/>
  </si>
  <si>
    <t>E</t>
    <phoneticPr fontId="18" type="noConversion"/>
  </si>
  <si>
    <t>PopUp_Storage</t>
    <phoneticPr fontId="18" type="noConversion"/>
  </si>
  <si>
    <t>H</t>
    <phoneticPr fontId="18" type="noConversion"/>
  </si>
  <si>
    <t>PopUp_Hydro</t>
    <phoneticPr fontId="18" type="noConversion"/>
  </si>
  <si>
    <t>Select_Slot1</t>
    <phoneticPr fontId="18" type="noConversion"/>
  </si>
  <si>
    <t>Select_Slot2</t>
    <phoneticPr fontId="18" type="noConversion"/>
  </si>
  <si>
    <t>Select_Slot3</t>
    <phoneticPr fontId="18" type="noConversion"/>
  </si>
  <si>
    <t>Prototype</t>
    <phoneticPr fontId="18" type="noConversion"/>
  </si>
  <si>
    <t>Cow</t>
    <phoneticPr fontId="18" type="noConversion"/>
  </si>
  <si>
    <t>Object</t>
    <phoneticPr fontId="18" type="noConversion"/>
  </si>
  <si>
    <t>DefaultKeyCode</t>
    <phoneticPr fontId="18" type="noConversion"/>
  </si>
  <si>
    <t>UI</t>
    <phoneticPr fontId="18" type="noConversion"/>
  </si>
  <si>
    <t>Interaction</t>
    <phoneticPr fontId="18" type="noConversion"/>
  </si>
  <si>
    <t>Selection</t>
    <phoneticPr fontId="18" type="noConversion"/>
  </si>
  <si>
    <t>Description_KR</t>
    <phoneticPr fontId="18" type="noConversion"/>
  </si>
  <si>
    <t>이동</t>
    <phoneticPr fontId="18" type="noConversion"/>
  </si>
  <si>
    <t>상호작용</t>
    <phoneticPr fontId="18" type="noConversion"/>
  </si>
  <si>
    <t>차트</t>
    <phoneticPr fontId="18" type="noConversion"/>
  </si>
  <si>
    <t>상점</t>
    <phoneticPr fontId="18" type="noConversion"/>
  </si>
  <si>
    <t>로봇 관리</t>
    <phoneticPr fontId="18" type="noConversion"/>
  </si>
  <si>
    <t>창고</t>
    <phoneticPr fontId="18" type="noConversion"/>
  </si>
  <si>
    <t>하이드로 리엑터</t>
    <phoneticPr fontId="18" type="noConversion"/>
  </si>
  <si>
    <t>1번 슬롯</t>
    <phoneticPr fontId="18" type="noConversion"/>
  </si>
  <si>
    <t>2번 슬롯</t>
    <phoneticPr fontId="18" type="noConversion"/>
  </si>
  <si>
    <t>3번 슬롯</t>
    <phoneticPr fontId="18" type="noConversion"/>
  </si>
  <si>
    <t>Modifier1</t>
    <phoneticPr fontId="18" type="noConversion"/>
  </si>
  <si>
    <t>Modifier2</t>
    <phoneticPr fontId="18" type="noConversion"/>
  </si>
  <si>
    <t>None</t>
    <phoneticPr fontId="18" type="noConversion"/>
  </si>
  <si>
    <t>PopUp_Setting</t>
    <phoneticPr fontId="18" type="noConversion"/>
  </si>
  <si>
    <t>Escape</t>
    <phoneticPr fontId="18" type="noConversion"/>
  </si>
  <si>
    <t>설정</t>
    <phoneticPr fontId="18" type="noConversion"/>
  </si>
  <si>
    <t>SynarioID</t>
  </si>
  <si>
    <t>Category</t>
  </si>
  <si>
    <t>Speaker</t>
  </si>
  <si>
    <t>Text</t>
  </si>
  <si>
    <t>Description</t>
  </si>
  <si>
    <t>Basic_BIC</t>
  </si>
  <si>
    <t>루크</t>
  </si>
  <si>
    <t>안녕하세요. 프로토타입 오토팜의 담당자 루크입니다.</t>
  </si>
  <si>
    <t>플레이어님의 쾌적하고 안전한 아가레아 생활을 위해 각종 수칙들을 설명드리도록 하겠습니다.</t>
  </si>
  <si>
    <t>Tutorial_BIC_Manual</t>
  </si>
  <si>
    <t>화면에 반짝이는 타일에 우클릭을 해보세요.</t>
  </si>
  <si>
    <t>플레이어 좌측으로 두 칸 떨어진 위치의 타일에 반짝이는 효과</t>
  </si>
  <si>
    <t>지금처럼 원하는 타일에 우클릭을 하면 그 위치로 이동을 할 수 있습니다.</t>
  </si>
  <si>
    <t>카메라는 캐릭터를 따라가지 않습니다. 커서를 화면 끝으로 이동시키면 그 방향으로 이동하죠.</t>
  </si>
  <si>
    <t>다음으로 반짝이는 건물에 좌클릭을 해보세요.</t>
  </si>
  <si>
    <t>원하는 건물이나 캐릭터에 좌클릭을 하면 상호작용을 할 수 있습니다.</t>
  </si>
  <si>
    <t>상호작용을 하면 지금처럼 오브젝트의 인터페이스가 등장하며 관련된 작업을 할 수 있죠.</t>
  </si>
  <si>
    <t>Tutorial_BIC_HDR</t>
  </si>
  <si>
    <t>지금 화면은 하이드로 리엑터라고 하는 건물의 인터페이스입니다. 수소 전지를 충전하거나 물을 얻을 수 있는 인터페이스죠.</t>
  </si>
  <si>
    <t>물탱크에 클릭 표시</t>
  </si>
  <si>
    <t>우선 물탱크에 좌클릭을 해서 물병을 얻어볼까요?</t>
  </si>
  <si>
    <t>물병은 사용할 수 있는 아이템이기 때문에 왼 쪽에 3칸짜리 인벤토리에 생성됩니다. 보조 인벤토리라고 부르죠.</t>
  </si>
  <si>
    <t>만약 보조 인벤토리가 가득 차 있다면 물탱크를 눌러도 물병을 얻을 수 없으니 조심하세요.</t>
  </si>
  <si>
    <t>충전 슬롯 첫 번째 칸에 반짝이는 효과</t>
  </si>
  <si>
    <t>이번에는 전지를 충전해봅시다. 오른 쪽 하단 슬롯에 있는 아이템을 표시된 영역에 드래그해보세요.</t>
  </si>
  <si>
    <t>수소 전지라는 이름 답게 물을 분해해서 얻은 수소를 채워 넣는 방식으로 충전을 시키죠.</t>
  </si>
  <si>
    <t>충전이 끝나면 자동으로 해제가 되니 과충전 걱정은 안하셔도 되겠습니다.</t>
  </si>
  <si>
    <t>일일이 단자에 충전시키는 것이 번거롭다면 자동 충전 토글이나 일괄 충전 버튼을 눌러보세요.</t>
  </si>
  <si>
    <t>자동/일괄 충전 버튼에 반짝이는 효과</t>
  </si>
  <si>
    <t>이제 이 곳에서의 볼일은 끝났으니 나가볼까요?</t>
  </si>
  <si>
    <t>EXIT버튼에 반짝이는 효과</t>
  </si>
  <si>
    <t>Tutorial_BIC_Build</t>
  </si>
  <si>
    <t>이제는 일을 시작할 시간입니다. 밭을 먼저 설치해야겠죠?</t>
  </si>
  <si>
    <t>건설 버튼에 반짝이는 효과</t>
  </si>
  <si>
    <t>방금 누르신 버튼은 건축 모드로 들어가는 버튼입니다.</t>
  </si>
  <si>
    <t>건축 모드에서는 건물을 제외한 다른 캐릭터 오브젝트는 비활성화 처리가 됩니다.</t>
  </si>
  <si>
    <t>밭을 한 번 눌러보시겠어요?</t>
  </si>
  <si>
    <t>건물 "밭" 버튼에 반짝이는 효과</t>
  </si>
  <si>
    <t>밭을 포함한 원하는 건물을 선택하면 왼 쪽에 그 건물의 크기와 보유하고 있는 건물 키트의 개수를 확인할 수 있습니다.</t>
  </si>
  <si>
    <t>밭 같은 경우는 단순히 땅을 갈기만 하면 되기 때문에 키트는 필요 없이 무한으로 표시가 되죠.</t>
  </si>
  <si>
    <t>자 그러면 표시된 영역에 밭을 설치해 볼까요?</t>
  </si>
  <si>
    <t>밭 설치 영역에 반짝이는 효과</t>
  </si>
  <si>
    <t>잘 하셨습니다. 이번에는 소를 키울 축사도 하나 만들어 볼까요?</t>
  </si>
  <si>
    <t>건물 "축사"버튼에 반짝이는 효과</t>
  </si>
  <si>
    <t>이번에는 원하는 위치에 설치를 해보세요. 밭이나 이미 다른 건물이 있는 위치에는 설치하지 못합니다.</t>
  </si>
  <si>
    <t>축사 같이 키트를 소모해야 하는 건물은 설치한 영역에 부지가 먼저 생성이 됩니다.</t>
  </si>
  <si>
    <t>지금처럼 키트가 있는 경우에는 즉시 설치가 진행이 되지만, 키트가 없다면 구매를 해서 수령할 때 까지 기다려야 하죠.</t>
  </si>
  <si>
    <t>이제 건축 모드를 종료해보죠.</t>
  </si>
  <si>
    <t>건축 모드 종료 버튼에 반짝이는 효과</t>
  </si>
  <si>
    <t>Tutorial_BIC_PC_Work</t>
  </si>
  <si>
    <t>먼저 밭에서 일하는 방법을 알려드리겠습니다. {1번} 키를 누르거나 슬롯을 클릭해서 씨감자를 사용할 준비를 해볼까요?</t>
  </si>
  <si>
    <t>보조 인벤토리 1번 슬롯에 반짝이는 효과</t>
  </si>
  <si>
    <t>이제 빈 밭에 한 칸 씩 상호작용해서 심어봅시다.</t>
  </si>
  <si>
    <t>심을 때 마다 한 칸 씩 반짝이는 효과</t>
  </si>
  <si>
    <t>잘 하셨습니다. 감자가 자라는 시간은 하루 정도 걸리긴 하지만… 이번만 빠르게 시간을 돌려볼게요.</t>
  </si>
  <si>
    <t>모든 감자를 바로 성장시키기</t>
  </si>
  <si>
    <t>자, 다 자란 감자들을 하나 씩 클릭해서 수확해보죠.</t>
  </si>
  <si>
    <t>수확할 때 마다 한 칸 씩 반짝이는 효과</t>
  </si>
  <si>
    <t>마른 밭에는 작물을 심을 수 없기 때문에 심기 전에 물병으로 밭을 충분히 적셔줘야 합니다.</t>
  </si>
  <si>
    <t>Tutorial_BIC_Storage</t>
  </si>
  <si>
    <t>이제 창고 건물에 상호작용을 해볼까요?</t>
  </si>
  <si>
    <t>메인 창고 건물에 반짝이는 효과</t>
  </si>
  <si>
    <t>수확한 감자를 창고에 드래그해서 저장해보세요.</t>
  </si>
  <si>
    <t>감자 아이템에 반짝이는 효과</t>
  </si>
  <si>
    <t>아이템을 저장하거나 꺼낼 때는 방금 처럼 하시면 됩니다.</t>
  </si>
  <si>
    <t>이제 수확한 감자를 팔아봅시다. 적재 버튼을 눌러보세요.</t>
  </si>
  <si>
    <t>적재 버튼에 반짝이는 효과</t>
  </si>
  <si>
    <t>적재 모드에서는 창고와의 상호작용이 모두 우주선에서 이루어진다 생각하시면 되겠습니다.</t>
  </si>
  <si>
    <t>창고에 있는 감자에 반짝이는 효과</t>
  </si>
  <si>
    <t>우주선에 적재를 하면 상품의 현재 가격에 따른 정산 금액이 표시됩니다. 오늘은 감자 가격이 조금 오른 편이군요.</t>
  </si>
  <si>
    <t>정산 금액 Panel에 반짝이는 효과</t>
  </si>
  <si>
    <t>이제 우주선 출발 준비를 시켜볼까요? 적재 완료 버튼을 눌러보세요.</t>
  </si>
  <si>
    <t>적재 완료 버튼에 반짝이는 효과</t>
  </si>
  <si>
    <t>우주선은 다음 날 자정에 출발을 합니다. 그래서 전날 23시부터는 출발을 위해 적재 버튼이 비활성화 됩니다.</t>
  </si>
  <si>
    <t>빠른 정산을 위해 시간을 조금 돌려 볼까요?</t>
  </si>
  <si>
    <t>다음 날 오전 8시로 이동</t>
  </si>
  <si>
    <t>자정에 우주선이 출발했고, 08시가 되면 정산된 금액이 입금됩니다.</t>
  </si>
  <si>
    <t>그런데 오전 9시가 되면 아이템들의 가격이 변하기 때문에 가격 변동 추이도 확인을 해봐야 하겠습니다. 마침 오늘은 월요일이기도 하네요.</t>
  </si>
  <si>
    <t>Tutorial_BIC_PopUp</t>
  </si>
  <si>
    <t>이번에는 데이터 패널 버튼을 눌러보세요. {C}키를 누르셔도 됩니다.</t>
  </si>
  <si>
    <t>데이터 패널 버튼에 반짝이는 효과</t>
  </si>
  <si>
    <t>앞으로 플레이어님이 많이 보게 되실 데이터 패널 화면입니다. 판매할 수 있는 아이템들의 가격이 어떻게 변했는지 볼 수 있죠.</t>
  </si>
  <si>
    <t>저희가 팔았던 감자의 가격 변동을 한 번 볼까요?</t>
  </si>
  <si>
    <t>감자 아이템 정보 Panel에 반짝이는 효과</t>
  </si>
  <si>
    <t>이 화면에서는 일 주일 간의 가격 변동 추이를 차트로 볼 수 있는 화면입니다.</t>
  </si>
  <si>
    <t>어제는 평소보다 가격이 조금 올랐는데, 곧 09시니 가격이 어떻게 변할지 궁금하긴 하네요.</t>
  </si>
  <si>
    <t>오늘의 감자 값은 떨어졌네요. 어제 올랐을 때 팔아서 정말 다행입니다.</t>
  </si>
  <si>
    <t>그리고 오늘은 월요일이기 때문에 아이템들에 대한 뉴스가 나오는 날입니다.</t>
  </si>
  <si>
    <t>뉴스에 따라 아이템 가격이 크게 오르거나 떨어지기 때문에 꼭 확인을 하는 것이 중요하죠.</t>
  </si>
  <si>
    <t>뉴스 인덱스 버튼에 반짝이는 효과</t>
  </si>
  <si>
    <t>오늘 감자 가격이 조금 떨어진 이유가 악재 때문이었네요.</t>
  </si>
  <si>
    <t>그에 비해 당근은 가격이 오르는 호재가 나온 상황입니다.</t>
  </si>
  <si>
    <t>마침 창고에 당근 씨앗을 준비해뒀었는데, 잘 됐네요.</t>
  </si>
  <si>
    <t>그래도 부족할 수 있으니 우주선이 돌아오기 전에 상점에서 조금 주문을 해볼까요?</t>
  </si>
  <si>
    <t>상점 데이터 칩에 반짝이는 효과</t>
  </si>
  <si>
    <t>데이터 패널 화면에서는 데이터 칩을 눌러서 화면을 전환할 수 있습니다. 상점은 {S}키를 눌러서 전환할 수 있죠.</t>
  </si>
  <si>
    <t>아이템의 종류에 따라 씨앗, 로봇, 부품, 건축 키트 메뉴가 나뉘어져 구성되어 있습니다.</t>
  </si>
  <si>
    <t>아까 이야기한 당근 씨앗부터 구매해보죠.</t>
  </si>
  <si>
    <t>당근 씨앗 구매 버튼에 반짝이는 효과</t>
  </si>
  <si>
    <t>구매 수량은 +버튼을 누르거나 숫자칸을 클릭해 직접 입력해서 정할 수 있습니다. 우선 50개만 구매해보죠.</t>
  </si>
  <si>
    <t>숫자 칸에 반짝이는 효과</t>
  </si>
  <si>
    <t>이번에는 축사에서 키울 소랑 우유를 담을 병도 구매를 해봅시다.</t>
  </si>
  <si>
    <t>자동 스크롤 및 소 구매 버튼에 반짝이는 효과</t>
  </si>
  <si>
    <t>우유같은 축산물은 농작물보다 시장 경제에서 불안정하지만 운이 좋다면 한 번에 큰 돈을 벌 수 있을겁니다.</t>
  </si>
  <si>
    <t>구매 확정 버튼에 반짝이는 효과</t>
  </si>
  <si>
    <t>그래도 과투자 하는 것은 좋지 않으니 10개만 구매하는걸로 하죠.</t>
  </si>
  <si>
    <t>빈 병 20개 구매 네비게이팅</t>
  </si>
  <si>
    <t>자 이번에는 플레이어님을 대신해서 자동으로 일해 줄 로봇과 우유를 생산하는 소를 구매해봅시다.</t>
  </si>
  <si>
    <t>상점 오브젝트 메뉴 버튼에 반짝이는 효과</t>
  </si>
  <si>
    <t>지금 당장은 프로토타입 버전 뿐이지만… 앞으로 좋은 결과가 있을거라 생각되네요.</t>
  </si>
  <si>
    <t>프로토타입과 소는 저희가 2개 까지 무료로 드리도록 하겠습니다. 패키지 상품으로 구매해보세요.</t>
  </si>
  <si>
    <t>프로토타입/소 패키지 상품에 반짝이는 효과</t>
  </si>
  <si>
    <t>모두 구매를 하니 12시가 되어가는군요. 곧 우주선이 돌아올 시간입니다.</t>
  </si>
  <si>
    <t>구매한 아이템들은 우주선이 복귀할 때 실어서 같이 배송되기 때문에 우주선이 복귀하기 전에 구매를 끝마치는게 중요하죠.</t>
  </si>
  <si>
    <t>만약 우주선이 출발한 이후에 주문을 하면 우주선을 다시 보내야 수령할 수 있는 것이죠.</t>
  </si>
  <si>
    <t>그렇다고 한 번 살 때 너무 많이 구매를 하면 창고가 가득 차 재고를 하차하지 못하고, 심지어는 상품이 사라질 수 있으니 조심하세요.</t>
  </si>
  <si>
    <t>자 이제 우주선이 도착한 것 같네요. 도착한 로봇들에게도 일을 시켜 볼까요?</t>
  </si>
  <si>
    <t>로봇 관리 데이터 칩에 반짝이는 효과</t>
  </si>
  <si>
    <t>이 화면에서는 보유 중인 모든 자동화 로봇의 정보를 보거나 이름을 바꿔줄 수 있습니다.</t>
  </si>
  <si>
    <t>지금은 모든 로봇이 일을 안하고 있어서 자고 있는 모습이네요.</t>
  </si>
  <si>
    <t>첫 번째 로봇의 이름을 한 번 바꿔볼까요? 원하는 이름 아무거나 지어주세요.</t>
  </si>
  <si>
    <t>첫 번째 로봇에 이름 칸에 반짝이는 효과</t>
  </si>
  <si>
    <t>{input}. 좋은 이름이네요. 이제 명령 하달을 위해 프로토타입의 인터페이스로 들어가보죠.</t>
  </si>
  <si>
    <t>첫 번째 로봇 칸에 반짝이는 효과</t>
  </si>
  <si>
    <t>Tutorial_BIC_NPC_Interface</t>
  </si>
  <si>
    <t>각각의 로봇 인터페이스는 지금처럼 로봇 관리 패널로 들어오거나 필드의 로봇에게 직접 상호작용을 해서 들어올 수 있습니다.</t>
  </si>
  <si>
    <t>화면에 표시된 곳을 누르고 설치했던 밭을 클릭해 보세요.</t>
  </si>
  <si>
    <t>작업 구역 버튼에 반짝이는 효과, 이후에 필드 밭에 반짝이는 효과</t>
  </si>
  <si>
    <t>로봇 한 기는 밭 4개까지 담당해서 일을 할 수 있습니다. 물론 다른 로봇들에게도 같은 밭을 담당시킬 수 있지만, 효율적이진 않죠.</t>
  </si>
  <si>
    <t>작업 구역을 할당했으니, 이제는 어떤 것을 생산할지 명령해야겠죠? 당근을 생산하도록 명령하세요.</t>
  </si>
  <si>
    <t>생산 아이템 버튼에 반짝이는 효과, 이후에 나오는 목록에 당근에 반짝이는 효과</t>
  </si>
  <si>
    <t>이제 로봇이 스스로 일을 하는 모습이 보이죠? 로봇은 움직이거나 일을 할 때 수소 에너지를 소모하여 물을 생산합니다.</t>
  </si>
  <si>
    <t>밭에 물을 주는 식으로 소모를 하긴 하지만 물이 가득 차게 된다면 잠시 작업이 중단되고 제자리에서 물을 뿜어내는 시간이 필요합니다.</t>
  </si>
  <si>
    <t>그리고 사용 중인 배터리의 용량이 부족해지면 스스로 창고에서 충전된 배터리로 교체를 하기도 하죠.</t>
  </si>
  <si>
    <t>프로토타입이긴 해도 최대한 스스로 해결할 수 있도록 만들어졌으니 걱정하지 않으셔도 됩니다.</t>
  </si>
  <si>
    <t>이제 다른 놀고 있는 프로토타입에게도 일을 할당해보죠.</t>
  </si>
  <si>
    <t>두 번째 로봇 오브젝트에 반짝이는 효과</t>
  </si>
  <si>
    <t>이번에는 축사에서 일을 시켜 봅시다.</t>
  </si>
  <si>
    <t>축사 건물에 작업 구역 할당 네비게이팅</t>
  </si>
  <si>
    <t>축사에 배치를 한다면 구매했던 소들을 알아서 잘 몰아오게 됩니다. 다행히 소들이 근처에 있네요.</t>
  </si>
  <si>
    <t>축사는 밭과 달리 하나의 축사에서만 작업이 가능한 것도 기억해주세요.</t>
  </si>
  <si>
    <t>데려온 소 들은 귀한 몸이기 때문에 축사 건물에 갇혀 있는 것이 아닌 울타리 내에서 자유롭게 풀을 뜯어 먹고 살겁니다.</t>
  </si>
  <si>
    <t>축사에 배치된 소에게 카메라 이동</t>
  </si>
  <si>
    <t>마실 물은 축사 건물 오른 쪽에 소형 물탱크로 확보할 수 있습니다.</t>
  </si>
  <si>
    <t>카메라 위치 지하수 펌핑 장치로 이동</t>
  </si>
  <si>
    <t>로봇이 물을 뿜어낼 때도 있으니 수분은 크게 신경 안쓰셔도 될겁니다.</t>
  </si>
  <si>
    <t>카메라 위치 두 번째 로봇 위치로 원상복귀</t>
  </si>
  <si>
    <t>소와 같은 가축은 특정 주기마다 고정적으로 상품을 생산합니다.</t>
  </si>
  <si>
    <t>축사에 로봇을 배치하면 자동으로 생산이 되긴 하겠지만, 빈 병을 들고 직접 소에게 상호작용해도 생산할 수 있으니 참고해주세요.</t>
  </si>
  <si>
    <t>마지막으로 로봇의 업그레이드에 관한 것을 알려드리겠습니다.</t>
  </si>
  <si>
    <t>로봇 업그레이드 메뉴 버튼에 반짝이는 효과</t>
  </si>
  <si>
    <t>현재 프로토타입의 성능은 상당히 좋지 못한 편입니다. 이동속도부터 작업 효율까지 모든 면에서 말이죠.</t>
  </si>
  <si>
    <t>기체 자체를 업그레이드할 수는 없지만, 업그레이드 퍽을 장착하여 성능을 조금 올릴 수 있죠.</t>
  </si>
  <si>
    <t>표시된 영역을 한 번 클릭해서 장착해보세요. 이동 속도가 확 빨라질겁니다.</t>
  </si>
  <si>
    <t>속도 부품 슬롯에 반짝이는 효과</t>
  </si>
  <si>
    <t>장착 해제를 하고 싶다면 다시 한 번 클릭해서 해제를 하면 되겠습니다.</t>
  </si>
  <si>
    <t>Tutorial_BIC_Skip</t>
  </si>
  <si>
    <t>이미 잘 아시는 것 같군요. 지금 부터 자유롭게 게임을 즐겨주시면 되겠습니다.</t>
  </si>
  <si>
    <t>그래도 혹시 모르니 튜토리얼이 필요하실 땐 알림 버튼을 눌러서 튜토리얼 진행하기를 선택해주세요.</t>
  </si>
  <si>
    <t>알림 버튼에 반짝이는 효과</t>
  </si>
  <si>
    <t>Tutorial_Basic_End</t>
  </si>
  <si>
    <t>여기까지 튜토리얼을 마치도록 하겠습니다.</t>
  </si>
  <si>
    <t>남은 목표는 더 많은 프로토타입을 이용한 자동화 농장을 운영하며 매일 가격이 변화하는 시장에서 1억을 목표로 달려봅시다.</t>
  </si>
  <si>
    <t>Tutorial</t>
    <phoneticPr fontId="18" type="noConversion"/>
  </si>
  <si>
    <t>100000G</t>
    <phoneticPr fontId="18" type="noConversion"/>
  </si>
  <si>
    <t>ObjectPackage</t>
    <phoneticPr fontId="18" type="noConversion"/>
  </si>
  <si>
    <t>Developer</t>
    <phoneticPr fontId="18" type="noConversion"/>
  </si>
  <si>
    <t>Field</t>
    <phoneticPr fontId="18" type="noConversion"/>
  </si>
  <si>
    <t>기본 가격</t>
    <phoneticPr fontId="18" type="noConversion"/>
  </si>
  <si>
    <t>표준편차</t>
    <phoneticPr fontId="18" type="noConversion"/>
  </si>
  <si>
    <t>평균회귀 기준 하한가</t>
    <phoneticPr fontId="18" type="noConversion"/>
  </si>
  <si>
    <t>아이템 ID</t>
    <phoneticPr fontId="18" type="noConversion"/>
  </si>
  <si>
    <t>씨앗 가격</t>
    <phoneticPr fontId="18" type="noConversion"/>
  </si>
  <si>
    <t>아이템명</t>
    <phoneticPr fontId="18" type="noConversion"/>
  </si>
  <si>
    <t>아이템 ID 값을 입력하여 계산
ID값은 2로 끝나는 작물 아이템이어야 한다.</t>
    <phoneticPr fontId="18" type="noConversion"/>
  </si>
  <si>
    <r>
      <rPr>
        <sz val="11"/>
        <color theme="1"/>
        <rFont val="맑은 고딕"/>
        <family val="3"/>
        <charset val="129"/>
      </rPr>
      <t>그러면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감자를 우주선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슬롯에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드래그해서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적재를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해봅시다</t>
    </r>
    <r>
      <rPr>
        <sz val="11"/>
        <color theme="1"/>
        <rFont val="Arial"/>
        <family val="2"/>
      </rPr>
      <t>.</t>
    </r>
    <phoneticPr fontId="18" type="noConversion"/>
  </si>
  <si>
    <t>루크</t>
    <phoneticPr fontId="18" type="noConversion"/>
  </si>
  <si>
    <r>
      <rPr>
        <sz val="11"/>
        <color theme="1"/>
        <rFont val="맑은 고딕"/>
        <family val="3"/>
        <charset val="129"/>
      </rPr>
      <t>수확을 한 아이템은 모두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가운데에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있는 메인 인벤토리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슬롯에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저장됩니다</t>
    </r>
    <r>
      <rPr>
        <sz val="11"/>
        <color theme="1"/>
        <rFont val="Arial"/>
        <family val="2"/>
      </rPr>
      <t>.</t>
    </r>
    <phoneticPr fontId="18" type="noConversion"/>
  </si>
  <si>
    <t>그리고 수확을 한 시점을 기준으로 유통기한이 생기게 됩니다. 유통기한 안에 판매를 하지 않으면 썩어서 없어지게 되니 조심하세요.</t>
    <phoneticPr fontId="18" type="noConversion"/>
  </si>
  <si>
    <r>
      <rPr>
        <sz val="11"/>
        <color theme="1"/>
        <rFont val="맑은 고딕"/>
        <family val="2"/>
        <charset val="129"/>
      </rPr>
      <t>밭에는 처음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가득했지만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수확을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마치면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마르게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됩니다.</t>
    </r>
    <phoneticPr fontId="18" type="noConversion"/>
  </si>
  <si>
    <r>
      <rPr>
        <sz val="11"/>
        <color theme="1"/>
        <rFont val="맑은 고딕"/>
        <family val="3"/>
        <charset val="129"/>
      </rPr>
      <t>밭이 마른 경우에는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얻은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물병의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사용해 적셔줘야 합니다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3"/>
        <charset val="129"/>
      </rPr>
      <t>밭에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사용해보세요</t>
    </r>
    <r>
      <rPr>
        <sz val="11"/>
        <color theme="1"/>
        <rFont val="Arial"/>
        <family val="2"/>
      </rPr>
      <t>.</t>
    </r>
    <phoneticPr fontId="18" type="noConversion"/>
  </si>
  <si>
    <r>
      <rPr>
        <sz val="11"/>
        <color theme="1"/>
        <rFont val="맑은 고딕"/>
        <family val="3"/>
        <charset val="129"/>
      </rPr>
      <t xml:space="preserve">튜토리얼 도중에 그만 건너뛰고 싶으시다면 </t>
    </r>
    <r>
      <rPr>
        <sz val="11"/>
        <color theme="1"/>
        <rFont val="Arial"/>
        <family val="3"/>
      </rPr>
      <t>ESC</t>
    </r>
    <r>
      <rPr>
        <sz val="11"/>
        <color theme="1"/>
        <rFont val="맑은 고딕"/>
        <family val="3"/>
        <charset val="129"/>
      </rPr>
      <t>버튼을 꾹 눌러보세요.</t>
    </r>
    <phoneticPr fontId="18" type="noConversion"/>
  </si>
  <si>
    <r>
      <rPr>
        <sz val="11"/>
        <color theme="1"/>
        <rFont val="맑은 고딕"/>
        <family val="3"/>
        <charset val="129"/>
      </rPr>
      <t>그러면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우선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간단한 </t>
    </r>
    <r>
      <rPr>
        <sz val="11"/>
        <color theme="1"/>
        <rFont val="맑은 고딕"/>
        <family val="3"/>
        <charset val="129"/>
      </rPr>
      <t>조작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방법부터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설명드리겠습니다</t>
    </r>
    <r>
      <rPr>
        <sz val="11"/>
        <color theme="1"/>
        <rFont val="Arial"/>
        <family val="2"/>
      </rPr>
      <t>.</t>
    </r>
    <phoneticPr fontId="18" type="noConversion"/>
  </si>
  <si>
    <t>Korean</t>
    <phoneticPr fontId="18" type="noConversion"/>
  </si>
  <si>
    <t>옥수수 씨앗</t>
    <phoneticPr fontId="18" type="noConversion"/>
  </si>
  <si>
    <t>옥수수</t>
    <phoneticPr fontId="18" type="noConversion"/>
  </si>
  <si>
    <t>씨 감자</t>
    <phoneticPr fontId="18" type="noConversion"/>
  </si>
  <si>
    <t>감자</t>
    <phoneticPr fontId="18" type="noConversion"/>
  </si>
  <si>
    <t>당근 씨앗</t>
    <phoneticPr fontId="18" type="noConversion"/>
  </si>
  <si>
    <t>당근</t>
    <phoneticPr fontId="18" type="noConversion"/>
  </si>
  <si>
    <t>양파</t>
    <phoneticPr fontId="18" type="noConversion"/>
  </si>
  <si>
    <t>양파 씨앗</t>
    <phoneticPr fontId="18" type="noConversion"/>
  </si>
  <si>
    <t>딸기</t>
    <phoneticPr fontId="18" type="noConversion"/>
  </si>
  <si>
    <t>딸기 씨앗</t>
    <phoneticPr fontId="18" type="noConversion"/>
  </si>
  <si>
    <t>블루베리</t>
    <phoneticPr fontId="18" type="noConversion"/>
  </si>
  <si>
    <t>블구베리 씨앗</t>
    <phoneticPr fontId="18" type="noConversion"/>
  </si>
  <si>
    <t>빈 병</t>
    <phoneticPr fontId="18" type="noConversion"/>
  </si>
  <si>
    <t>우유</t>
    <phoneticPr fontId="18" type="noConversion"/>
  </si>
  <si>
    <t>물</t>
    <phoneticPr fontId="18" type="noConversion"/>
  </si>
  <si>
    <t>10만 골드</t>
    <phoneticPr fontId="18" type="noConversion"/>
  </si>
  <si>
    <t>정착 지원 패키지</t>
    <phoneticPr fontId="18" type="noConversion"/>
  </si>
  <si>
    <t>닭</t>
    <phoneticPr fontId="18" type="noConversion"/>
  </si>
  <si>
    <t>소</t>
    <phoneticPr fontId="18" type="noConversion"/>
  </si>
  <si>
    <t>베터리 LV1</t>
    <phoneticPr fontId="18" type="noConversion"/>
  </si>
  <si>
    <t>메인 인벤토리 LV1</t>
    <phoneticPr fontId="18" type="noConversion"/>
  </si>
  <si>
    <t>메인 인벤토리 LV2</t>
    <phoneticPr fontId="18" type="noConversion"/>
  </si>
  <si>
    <t>서브 인벤토리 LV1</t>
    <phoneticPr fontId="18" type="noConversion"/>
  </si>
  <si>
    <t>서브 인벤토리 LV2</t>
    <phoneticPr fontId="18" type="noConversion"/>
  </si>
  <si>
    <t>속도 LV1</t>
    <phoneticPr fontId="18" type="noConversion"/>
  </si>
  <si>
    <t>속도 LV2</t>
    <phoneticPr fontId="18" type="noConversion"/>
  </si>
  <si>
    <t>효율 LV1</t>
    <phoneticPr fontId="18" type="noConversion"/>
  </si>
  <si>
    <t>효율 LV2</t>
    <phoneticPr fontId="18" type="noConversion"/>
  </si>
  <si>
    <t>밭</t>
    <phoneticPr fontId="18" type="noConversion"/>
  </si>
  <si>
    <t>축사</t>
    <phoneticPr fontId="18" type="noConversion"/>
  </si>
  <si>
    <t>DailyYield</t>
    <phoneticPr fontId="18" type="noConversion"/>
  </si>
  <si>
    <t>YieldCoolDown</t>
    <phoneticPr fontId="18" type="noConversion"/>
  </si>
  <si>
    <t>Sheep</t>
    <phoneticPr fontId="18" type="noConversion"/>
  </si>
  <si>
    <t>ID</t>
    <phoneticPr fontId="18" type="noConversion"/>
  </si>
  <si>
    <t>Name</t>
    <phoneticPr fontId="18" type="noConversion"/>
  </si>
  <si>
    <t>ID</t>
    <phoneticPr fontId="18" type="noConversion"/>
  </si>
  <si>
    <t>Name</t>
    <phoneticPr fontId="18" type="noConversion"/>
  </si>
  <si>
    <t>ID</t>
    <phoneticPr fontId="18" type="noConversion"/>
  </si>
  <si>
    <t>Name</t>
    <phoneticPr fontId="18" type="noConversion"/>
  </si>
  <si>
    <t>Name</t>
    <phoneticPr fontId="19" type="noConversion"/>
  </si>
  <si>
    <t>YieldMaterial</t>
    <phoneticPr fontId="18" type="noConversion"/>
  </si>
  <si>
    <t>YieldItem</t>
    <phoneticPr fontId="18" type="noConversion"/>
  </si>
  <si>
    <t>MaxCapacity</t>
    <phoneticPr fontId="18" type="noConversion"/>
  </si>
  <si>
    <t>W</t>
    <phoneticPr fontId="18" type="noConversion"/>
  </si>
  <si>
    <t>A</t>
    <phoneticPr fontId="18" type="noConversion"/>
  </si>
  <si>
    <t>S</t>
    <phoneticPr fontId="18" type="noConversion"/>
  </si>
  <si>
    <t>D</t>
    <phoneticPr fontId="18" type="noConversion"/>
  </si>
  <si>
    <t>Movement</t>
    <phoneticPr fontId="18" type="noConversion"/>
  </si>
  <si>
    <t>PC_MoveLeft</t>
    <phoneticPr fontId="18" type="noConversion"/>
  </si>
  <si>
    <t>PC_MoveRight</t>
    <phoneticPr fontId="18" type="noConversion"/>
  </si>
  <si>
    <t>위로 이동</t>
    <phoneticPr fontId="18" type="noConversion"/>
  </si>
  <si>
    <t>왼쪽으로 이동</t>
    <phoneticPr fontId="18" type="noConversion"/>
  </si>
  <si>
    <t>아래로 이동</t>
    <phoneticPr fontId="18" type="noConversion"/>
  </si>
  <si>
    <t>PC_MoveUp</t>
    <phoneticPr fontId="18" type="noConversion"/>
  </si>
  <si>
    <t>PC_MoveDown</t>
    <phoneticPr fontId="18" type="noConversion"/>
  </si>
  <si>
    <t>오른쪽으로 이동</t>
    <phoneticPr fontId="18" type="noConversion"/>
  </si>
  <si>
    <t>M</t>
    <phoneticPr fontId="18" type="noConversion"/>
  </si>
  <si>
    <t>RealTimePerDay</t>
    <phoneticPr fontId="18" type="noConversion"/>
  </si>
  <si>
    <t>RocketSlotAmount</t>
    <phoneticPr fontId="18" type="noConversion"/>
  </si>
  <si>
    <t>RocketDeliveryTime</t>
    <phoneticPr fontId="18" type="noConversion"/>
  </si>
  <si>
    <t>RocketLoadingTime</t>
    <phoneticPr fontId="18" type="noConversion"/>
  </si>
  <si>
    <t>GraceInterest</t>
    <phoneticPr fontId="18" type="noConversion"/>
  </si>
  <si>
    <t>MarketOpenHour</t>
    <phoneticPr fontId="18" type="noConversion"/>
  </si>
  <si>
    <t>MarketCloseHour</t>
    <phoneticPr fontId="18" type="noConversion"/>
  </si>
  <si>
    <t>행동 마다 사용되는 베터리 용량</t>
    <phoneticPr fontId="18" type="noConversion"/>
  </si>
  <si>
    <t>게임 기준 1년</t>
    <phoneticPr fontId="18" type="noConversion"/>
  </si>
  <si>
    <t>게임 기준 1달</t>
    <phoneticPr fontId="18" type="noConversion"/>
  </si>
  <si>
    <t>로켓 용량</t>
    <phoneticPr fontId="18" type="noConversion"/>
  </si>
  <si>
    <t>EventProb</t>
    <phoneticPr fontId="18" type="noConversion"/>
  </si>
  <si>
    <t>RumorProb</t>
    <phoneticPr fontId="18" type="noConversion"/>
  </si>
  <si>
    <t>RumorStdMul</t>
    <phoneticPr fontId="18" type="noConversion"/>
  </si>
  <si>
    <t>FollowUpDecay</t>
    <phoneticPr fontId="18" type="noConversion"/>
  </si>
  <si>
    <t>FollowUpOverMeanMul</t>
    <phoneticPr fontId="18" type="noConversion"/>
  </si>
  <si>
    <t>유예 기간 이자 비율</t>
    <phoneticPr fontId="18" type="noConversion"/>
  </si>
  <si>
    <t>로켓 이동 시간(초 단위)</t>
    <phoneticPr fontId="18" type="noConversion"/>
  </si>
  <si>
    <t>로켓 상하차 시간(초 단위)</t>
    <phoneticPr fontId="18" type="noConversion"/>
  </si>
  <si>
    <t>게임 오버 유예 기간(게임 내 일 단위)</t>
    <phoneticPr fontId="18" type="noConversion"/>
  </si>
  <si>
    <t>장 마감 시간(게임 내 시간 단위)</t>
    <phoneticPr fontId="18" type="noConversion"/>
  </si>
  <si>
    <t>게임 내 하루의 실제 시간(초 단위)</t>
    <phoneticPr fontId="18" type="noConversion"/>
  </si>
  <si>
    <t>이벤트 발생 확률</t>
    <phoneticPr fontId="18" type="noConversion"/>
  </si>
  <si>
    <t>소문 발생 확률</t>
    <phoneticPr fontId="18" type="noConversion"/>
  </si>
  <si>
    <t>소문 적용 시 표준편차 변동 비율</t>
    <phoneticPr fontId="18" type="noConversion"/>
  </si>
  <si>
    <t>후속 이벤트 발생 확률(0.7^연속 일수)</t>
    <phoneticPr fontId="18" type="noConversion"/>
  </si>
  <si>
    <t>목표 미달 시 반전될 확률</t>
    <phoneticPr fontId="18" type="noConversion"/>
  </si>
  <si>
    <t>Value</t>
    <phoneticPr fontId="18" type="noConversion"/>
  </si>
  <si>
    <t>긴급 이벤트 발생 확률</t>
    <phoneticPr fontId="18" type="noConversion"/>
  </si>
  <si>
    <t>긴급 이벤트 최소 진행 기간</t>
    <phoneticPr fontId="18" type="noConversion"/>
  </si>
  <si>
    <t>긴급 이벤트 최대 진행 기간</t>
    <phoneticPr fontId="18" type="noConversion"/>
  </si>
  <si>
    <t>긴급 이벤트 재 발생 쿨 타임</t>
    <phoneticPr fontId="18" type="noConversion"/>
  </si>
  <si>
    <t>EmgProb</t>
    <phoneticPr fontId="18" type="noConversion"/>
  </si>
  <si>
    <t>EmgMinDays</t>
    <phoneticPr fontId="18" type="noConversion"/>
  </si>
  <si>
    <t>EmgMaxDays</t>
    <phoneticPr fontId="18" type="noConversion"/>
  </si>
  <si>
    <t>EmgAfterLockReachDays</t>
    <phoneticPr fontId="18" type="noConversion"/>
  </si>
  <si>
    <t>EmgAfterLockExpireDays</t>
    <phoneticPr fontId="18" type="noConversion"/>
  </si>
  <si>
    <t>EmgLockDecay</t>
    <phoneticPr fontId="18" type="noConversion"/>
  </si>
  <si>
    <t>긴급 이벤트 목표 달성 종료 시,  평균 회귀 유예 최소 기간</t>
    <phoneticPr fontId="18" type="noConversion"/>
  </si>
  <si>
    <t>긴급 이벤트 기간 만료 종료 시, 평균 회귀 유예 최소 기간</t>
    <phoneticPr fontId="18" type="noConversion"/>
  </si>
  <si>
    <t>유예 최소 기간 이후 유예 유지 확률 (0.7 ^ 연속 일수)</t>
    <phoneticPr fontId="18" type="noConversion"/>
  </si>
  <si>
    <t>UsedBatteryPerWork</t>
    <phoneticPr fontId="18" type="noConversion"/>
  </si>
  <si>
    <t>DaysPerYear</t>
    <phoneticPr fontId="18" type="noConversion"/>
  </si>
  <si>
    <t>DaysPerMonth</t>
    <phoneticPr fontId="18" type="noConversion"/>
  </si>
  <si>
    <t>EmgVirtualLineMul</t>
    <phoneticPr fontId="18" type="noConversion"/>
  </si>
  <si>
    <t>긴급 이벤트 가상 선 강도 (기존 지지/저항 선의 0.3배)</t>
    <phoneticPr fontId="18" type="noConversion"/>
  </si>
  <si>
    <t>EmgVirtualLineKeepDays</t>
    <phoneticPr fontId="18" type="noConversion"/>
  </si>
  <si>
    <t>가상선 유지 기간</t>
    <phoneticPr fontId="18" type="noConversion"/>
  </si>
  <si>
    <t>RegressionRangeMin</t>
    <phoneticPr fontId="18" type="noConversion"/>
  </si>
  <si>
    <t>RegressionRangeMax</t>
    <phoneticPr fontId="18" type="noConversion"/>
  </si>
  <si>
    <t>LineSampleDays</t>
    <phoneticPr fontId="18" type="noConversion"/>
  </si>
  <si>
    <t>LineSettleDays</t>
    <phoneticPr fontId="18" type="noConversion"/>
  </si>
  <si>
    <t>LineBinSigma</t>
    <phoneticPr fontId="18" type="noConversion"/>
  </si>
  <si>
    <t>지지/저항선 표본</t>
    <phoneticPr fontId="18" type="noConversion"/>
  </si>
  <si>
    <t>지지/저항선 형성 주기</t>
    <phoneticPr fontId="18" type="noConversion"/>
  </si>
  <si>
    <t>LineMinSamples</t>
    <phoneticPr fontId="18" type="noConversion"/>
  </si>
  <si>
    <t>선이 형성되기 위한 최소한의 표본 개수</t>
    <phoneticPr fontId="18" type="noConversion"/>
  </si>
  <si>
    <t>LineBlockDecay</t>
    <phoneticPr fontId="18" type="noConversion"/>
  </si>
  <si>
    <t>LineQuietPower</t>
    <phoneticPr fontId="18" type="noConversion"/>
  </si>
  <si>
    <t>지지/저항선이 한 번 부딪힐 때 줄어드는 강도 비율</t>
    <phoneticPr fontId="18" type="noConversion"/>
  </si>
  <si>
    <t>TaxPeriodDays</t>
    <phoneticPr fontId="18" type="noConversion"/>
  </si>
  <si>
    <t>EndingGoalMoney</t>
    <phoneticPr fontId="18" type="noConversion"/>
  </si>
  <si>
    <t>StartingPotatoSeed</t>
    <phoneticPr fontId="18" type="noConversion"/>
  </si>
  <si>
    <t>StartingPotato</t>
    <phoneticPr fontId="18" type="noConversion"/>
  </si>
  <si>
    <t>StartingNPC</t>
    <phoneticPr fontId="18" type="noConversion"/>
  </si>
  <si>
    <t>StartingMoney</t>
    <phoneticPr fontId="18" type="noConversion"/>
  </si>
  <si>
    <t>세금 지출 주기</t>
    <phoneticPr fontId="18" type="noConversion"/>
  </si>
  <si>
    <t>굿 엔딩 기준 금액</t>
    <phoneticPr fontId="18" type="noConversion"/>
  </si>
  <si>
    <t>시작 지원 아이템 : 씨 감자</t>
    <phoneticPr fontId="18" type="noConversion"/>
  </si>
  <si>
    <t>시작 지원 아이템 : 감자</t>
    <phoneticPr fontId="18" type="noConversion"/>
  </si>
  <si>
    <t>시작 지원 아이템 : 기본 NPC 로봇</t>
    <phoneticPr fontId="18" type="noConversion"/>
  </si>
  <si>
    <t>시작 지원 아이템 : 정착 지원금</t>
    <phoneticPr fontId="18" type="noConversion"/>
  </si>
  <si>
    <t>EmgCoolDownDays</t>
    <phoneticPr fontId="18" type="noConversion"/>
  </si>
  <si>
    <t>BadEndGraceDays</t>
    <phoneticPr fontId="18" type="noConversion"/>
  </si>
  <si>
    <t>평균회귀 목표 예외 범위(0.5~2배를 벗어난 경우엔 원가를 목표로)</t>
    <phoneticPr fontId="18" type="noConversion"/>
  </si>
  <si>
    <t>28일 표본 중, 비슷한 가격대 끼리 묶는 배수</t>
    <phoneticPr fontId="18" type="noConversion"/>
  </si>
  <si>
    <t>장 시작 시간(게임 내 시간 단위)</t>
    <phoneticPr fontId="18" type="noConversion"/>
  </si>
  <si>
    <t>이벤트가 없는 날의 고정 돌파 강도</t>
    <phoneticPr fontId="18" type="noConversion"/>
  </si>
  <si>
    <t>ExpireWarningDays</t>
    <phoneticPr fontId="18" type="noConversion"/>
  </si>
  <si>
    <t>TimeScaleMax</t>
    <phoneticPr fontId="18" type="noConversion"/>
  </si>
  <si>
    <t>TimeScaleStep</t>
    <phoneticPr fontId="18" type="noConversion"/>
  </si>
  <si>
    <t>유통기한 경고 일수</t>
    <phoneticPr fontId="18" type="noConversion"/>
  </si>
  <si>
    <t>시간 배수 증가 배율 (0.5씩 증가)</t>
    <phoneticPr fontId="18" type="noConversion"/>
  </si>
  <si>
    <t>최대 시간 배수 증가 수치</t>
    <phoneticPr fontId="18" type="noConversion"/>
  </si>
  <si>
    <t>UITimeStepMinutes</t>
    <phoneticPr fontId="18" type="noConversion"/>
  </si>
  <si>
    <t>FieldMaxExpand</t>
    <phoneticPr fontId="18" type="noConversion"/>
  </si>
  <si>
    <t>UI 시간 표시 최소 단위(10분단위)</t>
    <phoneticPr fontId="18" type="noConversion"/>
  </si>
  <si>
    <t>각 방향 별 필드 확장 최대 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</si>
</sst>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</font>
    <font>
      <sz val="11"/>
      <color theme="1"/>
      <name val="Arial"/>
      <family val="3"/>
      <charset val="129"/>
    </font>
    <font>
      <sz val="11"/>
      <color theme="1"/>
      <name val="Arial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>
      <alignment vertical="center"/>
    </xf>
    <xf numFmtId="0" fontId="20" fillId="34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wrapText="1"/>
    </xf>
    <xf numFmtId="0" fontId="20" fillId="0" borderId="10" xfId="0" applyFont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5" fillId="0" borderId="10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26" fillId="0" borderId="10" xfId="0" applyFont="1" applyBorder="1" applyAlignment="1">
      <alignment horizontal="center" wrapText="1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0" fontId="0" fillId="35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3"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0070C0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0070C0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5F4D-6333-4BEC-B869-C3B1C6B3F47D}">
  <sheetPr codeName="Sheet1"/>
  <dimension ref="A1:H33"/>
  <sheetViews>
    <sheetView topLeftCell="A13" zoomScaleNormal="100" workbookViewId="0">
      <selection activeCell="J13" sqref="J13:M28"/>
    </sheetView>
  </sheetViews>
  <sheetFormatPr defaultRowHeight="16.5" x14ac:dyDescent="0.3"/>
  <cols>
    <col min="1" max="1" width="7.125" style="2" bestFit="1" customWidth="1"/>
    <col min="2" max="2" width="15" style="2" bestFit="1" customWidth="1"/>
    <col min="3" max="4" width="11" style="2" bestFit="1" customWidth="1"/>
    <col min="5" max="5" width="10.875" style="2" customWidth="1"/>
    <col min="6" max="6" width="12.625" style="2" bestFit="1" customWidth="1"/>
    <col min="7" max="7" width="14.625" style="2" bestFit="1" customWidth="1"/>
    <col min="8" max="8" width="13.875" style="2" customWidth="1"/>
    <col min="9" max="9" width="13.125" style="2" customWidth="1"/>
    <col min="10" max="10" width="11.625" style="2" customWidth="1"/>
    <col min="11" max="11" width="11.875" style="2" customWidth="1"/>
    <col min="12" max="12" width="11.5" style="2" customWidth="1"/>
    <col min="13" max="16384" width="9" style="2"/>
  </cols>
  <sheetData>
    <row r="1" spans="1:8" s="1" customFormat="1" x14ac:dyDescent="0.3">
      <c r="A1" s="1" t="s">
        <v>380</v>
      </c>
      <c r="B1" s="1" t="s">
        <v>381</v>
      </c>
      <c r="C1" s="1" t="s">
        <v>67</v>
      </c>
      <c r="D1" s="1" t="s">
        <v>66</v>
      </c>
      <c r="E1" s="1" t="s">
        <v>13</v>
      </c>
      <c r="F1" s="1" t="s">
        <v>389</v>
      </c>
      <c r="G1" s="1" t="s">
        <v>14</v>
      </c>
      <c r="H1" s="1" t="s">
        <v>103</v>
      </c>
    </row>
    <row r="2" spans="1:8" x14ac:dyDescent="0.3">
      <c r="A2" s="2">
        <v>1011</v>
      </c>
      <c r="B2" s="2" t="s">
        <v>58</v>
      </c>
      <c r="C2" s="2" t="s">
        <v>9</v>
      </c>
      <c r="D2" s="2">
        <f>D3*90/100</f>
        <v>900</v>
      </c>
      <c r="E2" s="2">
        <v>45</v>
      </c>
      <c r="F2" s="2">
        <v>0</v>
      </c>
      <c r="G2" s="2">
        <v>-1</v>
      </c>
      <c r="H2" s="2">
        <v>0</v>
      </c>
    </row>
    <row r="3" spans="1:8" x14ac:dyDescent="0.3">
      <c r="A3" s="2">
        <v>1012</v>
      </c>
      <c r="B3" s="2" t="s">
        <v>6</v>
      </c>
      <c r="C3" s="2" t="s">
        <v>10</v>
      </c>
      <c r="D3" s="2">
        <v>1000</v>
      </c>
      <c r="E3" s="2">
        <v>9</v>
      </c>
      <c r="F3" s="2">
        <v>0</v>
      </c>
      <c r="G3" s="2">
        <v>30</v>
      </c>
      <c r="H3" s="2">
        <v>0</v>
      </c>
    </row>
    <row r="4" spans="1:8" x14ac:dyDescent="0.3">
      <c r="A4" s="2">
        <v>1021</v>
      </c>
      <c r="B4" s="2" t="s">
        <v>59</v>
      </c>
      <c r="C4" s="2" t="s">
        <v>9</v>
      </c>
      <c r="D4" s="2">
        <v>800</v>
      </c>
      <c r="E4" s="2">
        <v>45</v>
      </c>
      <c r="F4" s="2">
        <v>0</v>
      </c>
      <c r="G4" s="2">
        <v>-1</v>
      </c>
      <c r="H4" s="2">
        <v>1</v>
      </c>
    </row>
    <row r="5" spans="1:8" x14ac:dyDescent="0.3">
      <c r="A5" s="2">
        <v>1022</v>
      </c>
      <c r="B5" s="2" t="s">
        <v>2</v>
      </c>
      <c r="C5" s="2" t="s">
        <v>10</v>
      </c>
      <c r="D5" s="2">
        <v>900</v>
      </c>
      <c r="E5" s="2">
        <v>9</v>
      </c>
      <c r="F5" s="2">
        <v>0</v>
      </c>
      <c r="G5" s="2">
        <v>30</v>
      </c>
      <c r="H5" s="2">
        <v>1</v>
      </c>
    </row>
    <row r="6" spans="1:8" x14ac:dyDescent="0.3">
      <c r="A6" s="2">
        <v>2011</v>
      </c>
      <c r="B6" s="2" t="s">
        <v>60</v>
      </c>
      <c r="C6" s="2" t="s">
        <v>9</v>
      </c>
      <c r="D6" s="2">
        <f>D7*90/100</f>
        <v>900</v>
      </c>
      <c r="E6" s="2">
        <v>45</v>
      </c>
      <c r="F6" s="2">
        <v>0</v>
      </c>
      <c r="G6" s="2">
        <v>-1</v>
      </c>
      <c r="H6" s="2">
        <v>1</v>
      </c>
    </row>
    <row r="7" spans="1:8" x14ac:dyDescent="0.3">
      <c r="A7" s="2">
        <v>2012</v>
      </c>
      <c r="B7" s="2" t="s">
        <v>3</v>
      </c>
      <c r="C7" s="2" t="s">
        <v>10</v>
      </c>
      <c r="D7" s="2">
        <v>1000</v>
      </c>
      <c r="E7" s="2">
        <v>9</v>
      </c>
      <c r="F7" s="2">
        <v>0</v>
      </c>
      <c r="G7" s="2">
        <v>20</v>
      </c>
      <c r="H7" s="2">
        <v>1</v>
      </c>
    </row>
    <row r="8" spans="1:8" x14ac:dyDescent="0.3">
      <c r="A8" s="2">
        <v>2021</v>
      </c>
      <c r="B8" s="2" t="s">
        <v>61</v>
      </c>
      <c r="C8" s="2" t="s">
        <v>9</v>
      </c>
      <c r="D8" s="2">
        <f>D9*90/100</f>
        <v>990</v>
      </c>
      <c r="E8" s="2">
        <v>45</v>
      </c>
      <c r="F8" s="2">
        <v>0</v>
      </c>
      <c r="G8" s="2">
        <v>-1</v>
      </c>
      <c r="H8" s="2">
        <v>0</v>
      </c>
    </row>
    <row r="9" spans="1:8" x14ac:dyDescent="0.3">
      <c r="A9" s="2">
        <v>2022</v>
      </c>
      <c r="B9" s="2" t="s">
        <v>7</v>
      </c>
      <c r="C9" s="2" t="s">
        <v>10</v>
      </c>
      <c r="D9" s="2">
        <v>1100</v>
      </c>
      <c r="E9" s="2">
        <v>9</v>
      </c>
      <c r="F9" s="2">
        <v>0</v>
      </c>
      <c r="G9" s="2">
        <v>20</v>
      </c>
      <c r="H9" s="2">
        <v>0</v>
      </c>
    </row>
    <row r="10" spans="1:8" x14ac:dyDescent="0.3">
      <c r="A10" s="2">
        <v>3011</v>
      </c>
      <c r="B10" s="2" t="s">
        <v>62</v>
      </c>
      <c r="C10" s="2" t="s">
        <v>9</v>
      </c>
      <c r="D10" s="2">
        <v>1100</v>
      </c>
      <c r="E10" s="2">
        <v>45</v>
      </c>
      <c r="F10" s="2">
        <v>0</v>
      </c>
      <c r="G10" s="2">
        <v>-1</v>
      </c>
      <c r="H10" s="2">
        <v>1</v>
      </c>
    </row>
    <row r="11" spans="1:8" x14ac:dyDescent="0.3">
      <c r="A11" s="2">
        <v>3012</v>
      </c>
      <c r="B11" s="2" t="s">
        <v>4</v>
      </c>
      <c r="C11" s="2" t="s">
        <v>10</v>
      </c>
      <c r="D11" s="2">
        <v>1200</v>
      </c>
      <c r="E11" s="2">
        <v>9</v>
      </c>
      <c r="F11" s="2">
        <v>0</v>
      </c>
      <c r="G11" s="2">
        <v>15</v>
      </c>
      <c r="H11" s="2">
        <v>1</v>
      </c>
    </row>
    <row r="12" spans="1:8" x14ac:dyDescent="0.3">
      <c r="A12" s="2">
        <v>3021</v>
      </c>
      <c r="B12" s="2" t="s">
        <v>63</v>
      </c>
      <c r="C12" s="2" t="s">
        <v>9</v>
      </c>
      <c r="D12" s="2">
        <f>D13*90/100</f>
        <v>990</v>
      </c>
      <c r="E12" s="2">
        <v>45</v>
      </c>
      <c r="F12" s="2">
        <v>0</v>
      </c>
      <c r="G12" s="2">
        <v>-1</v>
      </c>
      <c r="H12" s="2">
        <v>0</v>
      </c>
    </row>
    <row r="13" spans="1:8" x14ac:dyDescent="0.3">
      <c r="A13" s="2">
        <v>3022</v>
      </c>
      <c r="B13" s="2" t="s">
        <v>8</v>
      </c>
      <c r="C13" s="2" t="s">
        <v>10</v>
      </c>
      <c r="D13" s="2">
        <v>1100</v>
      </c>
      <c r="E13" s="2">
        <v>9</v>
      </c>
      <c r="F13" s="2">
        <v>0</v>
      </c>
      <c r="G13" s="2">
        <v>15</v>
      </c>
      <c r="H13" s="2">
        <v>0</v>
      </c>
    </row>
    <row r="14" spans="1:8" x14ac:dyDescent="0.3">
      <c r="A14" s="2">
        <v>4011</v>
      </c>
      <c r="B14" s="2" t="s">
        <v>11</v>
      </c>
      <c r="C14" s="2" t="s">
        <v>12</v>
      </c>
      <c r="D14" s="2">
        <v>5000</v>
      </c>
      <c r="E14" s="2">
        <v>8</v>
      </c>
      <c r="F14" s="2">
        <v>0</v>
      </c>
      <c r="G14" s="2">
        <v>-1</v>
      </c>
      <c r="H14" s="2">
        <v>1</v>
      </c>
    </row>
    <row r="15" spans="1:8" x14ac:dyDescent="0.3">
      <c r="A15" s="2">
        <v>4012</v>
      </c>
      <c r="B15" s="2" t="s">
        <v>5</v>
      </c>
      <c r="C15" s="2" t="s">
        <v>10</v>
      </c>
      <c r="D15" s="2">
        <v>5000</v>
      </c>
      <c r="E15" s="2">
        <v>4</v>
      </c>
      <c r="F15" s="2">
        <v>0</v>
      </c>
      <c r="G15" s="2">
        <v>7</v>
      </c>
      <c r="H15" s="2">
        <v>1</v>
      </c>
    </row>
    <row r="16" spans="1:8" x14ac:dyDescent="0.3">
      <c r="A16" s="2">
        <v>5001</v>
      </c>
      <c r="B16" s="2" t="s">
        <v>102</v>
      </c>
      <c r="C16" s="2" t="s">
        <v>102</v>
      </c>
      <c r="D16" s="2">
        <v>0</v>
      </c>
      <c r="E16" s="2">
        <v>99</v>
      </c>
      <c r="F16" s="2">
        <v>0</v>
      </c>
      <c r="G16" s="2">
        <v>-1</v>
      </c>
      <c r="H16" s="2">
        <v>1</v>
      </c>
    </row>
    <row r="17" spans="1:8" x14ac:dyDescent="0.3">
      <c r="A17" s="2">
        <v>5011</v>
      </c>
      <c r="B17" s="2" t="s">
        <v>327</v>
      </c>
      <c r="C17" s="2" t="s">
        <v>329</v>
      </c>
      <c r="D17" s="2">
        <v>0</v>
      </c>
      <c r="E17" s="2">
        <v>1</v>
      </c>
      <c r="F17" s="2">
        <v>0</v>
      </c>
      <c r="G17" s="2">
        <v>-1</v>
      </c>
      <c r="H17" s="2">
        <v>1</v>
      </c>
    </row>
    <row r="18" spans="1:8" x14ac:dyDescent="0.3">
      <c r="A18" s="2">
        <v>5021</v>
      </c>
      <c r="B18" s="2" t="s">
        <v>328</v>
      </c>
      <c r="C18" s="2" t="s">
        <v>326</v>
      </c>
      <c r="D18" s="2">
        <v>0</v>
      </c>
      <c r="E18" s="2">
        <v>1</v>
      </c>
      <c r="F18" s="2">
        <v>0</v>
      </c>
      <c r="G18" s="2">
        <v>-1</v>
      </c>
      <c r="H18" s="2">
        <v>1</v>
      </c>
    </row>
    <row r="19" spans="1:8" x14ac:dyDescent="0.3">
      <c r="A19" s="2">
        <v>6021</v>
      </c>
      <c r="B19" s="2" t="s">
        <v>139</v>
      </c>
      <c r="C19" s="2" t="s">
        <v>141</v>
      </c>
      <c r="D19" s="2">
        <v>10000</v>
      </c>
      <c r="E19" s="2">
        <v>1</v>
      </c>
      <c r="F19" s="2">
        <v>0</v>
      </c>
      <c r="G19" s="2">
        <v>-1</v>
      </c>
      <c r="H19" s="2">
        <v>1</v>
      </c>
    </row>
    <row r="20" spans="1:8" x14ac:dyDescent="0.3">
      <c r="A20" s="2">
        <v>6031</v>
      </c>
      <c r="B20" s="2" t="s">
        <v>140</v>
      </c>
      <c r="C20" s="2" t="s">
        <v>141</v>
      </c>
      <c r="D20" s="2">
        <v>20000</v>
      </c>
      <c r="E20" s="2">
        <v>1</v>
      </c>
      <c r="F20" s="2">
        <v>0</v>
      </c>
      <c r="G20" s="2">
        <v>-1</v>
      </c>
      <c r="H20" s="2">
        <v>1</v>
      </c>
    </row>
    <row r="21" spans="1:8" x14ac:dyDescent="0.3">
      <c r="A21" s="2">
        <v>6032</v>
      </c>
      <c r="B21" s="2" t="s">
        <v>379</v>
      </c>
      <c r="C21" s="2" t="s">
        <v>141</v>
      </c>
      <c r="D21" s="2">
        <v>5000</v>
      </c>
      <c r="E21" s="2">
        <v>1</v>
      </c>
      <c r="F21" s="2">
        <v>0</v>
      </c>
      <c r="G21" s="2">
        <v>-1</v>
      </c>
      <c r="H21" s="2">
        <v>0</v>
      </c>
    </row>
    <row r="22" spans="1:8" x14ac:dyDescent="0.3">
      <c r="A22" s="2">
        <v>7011</v>
      </c>
      <c r="B22" s="2" t="s">
        <v>104</v>
      </c>
      <c r="C22" s="2" t="s">
        <v>105</v>
      </c>
      <c r="D22" s="2">
        <v>1000</v>
      </c>
      <c r="E22" s="2">
        <v>1</v>
      </c>
      <c r="F22" s="2">
        <v>300</v>
      </c>
      <c r="G22" s="2">
        <v>-1</v>
      </c>
      <c r="H22" s="2">
        <v>1</v>
      </c>
    </row>
    <row r="23" spans="1:8" x14ac:dyDescent="0.3">
      <c r="A23" s="2">
        <v>8011</v>
      </c>
      <c r="B23" s="2" t="s">
        <v>50</v>
      </c>
      <c r="C23" s="2" t="s">
        <v>49</v>
      </c>
      <c r="D23" s="2">
        <v>10000</v>
      </c>
      <c r="E23" s="2">
        <v>1</v>
      </c>
      <c r="F23" s="2">
        <v>0</v>
      </c>
      <c r="G23" s="2">
        <v>-1</v>
      </c>
      <c r="H23" s="2">
        <v>1</v>
      </c>
    </row>
    <row r="24" spans="1:8" x14ac:dyDescent="0.3">
      <c r="A24" s="2">
        <v>8012</v>
      </c>
      <c r="B24" s="2" t="s">
        <v>54</v>
      </c>
      <c r="C24" s="2" t="s">
        <v>49</v>
      </c>
      <c r="D24" s="2">
        <v>20000</v>
      </c>
      <c r="E24" s="2">
        <v>1</v>
      </c>
      <c r="F24" s="2">
        <v>0</v>
      </c>
      <c r="G24" s="2">
        <v>-1</v>
      </c>
      <c r="H24" s="2">
        <v>0</v>
      </c>
    </row>
    <row r="25" spans="1:8" x14ac:dyDescent="0.3">
      <c r="A25" s="2">
        <v>8021</v>
      </c>
      <c r="B25" s="2" t="s">
        <v>51</v>
      </c>
      <c r="C25" s="2" t="s">
        <v>49</v>
      </c>
      <c r="D25" s="2">
        <v>10000</v>
      </c>
      <c r="E25" s="2">
        <v>1</v>
      </c>
      <c r="F25" s="2">
        <v>0</v>
      </c>
      <c r="G25" s="2">
        <v>-1</v>
      </c>
      <c r="H25" s="2">
        <v>1</v>
      </c>
    </row>
    <row r="26" spans="1:8" x14ac:dyDescent="0.3">
      <c r="A26" s="2">
        <v>8022</v>
      </c>
      <c r="B26" s="2" t="s">
        <v>55</v>
      </c>
      <c r="C26" s="2" t="s">
        <v>49</v>
      </c>
      <c r="D26" s="2">
        <v>20000</v>
      </c>
      <c r="E26" s="2">
        <v>1</v>
      </c>
      <c r="F26" s="2">
        <v>0</v>
      </c>
      <c r="G26" s="2">
        <v>-1</v>
      </c>
      <c r="H26" s="2">
        <v>0</v>
      </c>
    </row>
    <row r="27" spans="1:8" x14ac:dyDescent="0.3">
      <c r="A27" s="2">
        <v>8031</v>
      </c>
      <c r="B27" s="2" t="s">
        <v>52</v>
      </c>
      <c r="C27" s="2" t="s">
        <v>49</v>
      </c>
      <c r="D27" s="2">
        <v>10000</v>
      </c>
      <c r="E27" s="2">
        <v>1</v>
      </c>
      <c r="F27" s="2">
        <v>0</v>
      </c>
      <c r="G27" s="2">
        <v>-1</v>
      </c>
      <c r="H27" s="2">
        <v>1</v>
      </c>
    </row>
    <row r="28" spans="1:8" x14ac:dyDescent="0.3">
      <c r="A28" s="2">
        <v>8032</v>
      </c>
      <c r="B28" s="2" t="s">
        <v>56</v>
      </c>
      <c r="C28" s="2" t="s">
        <v>49</v>
      </c>
      <c r="D28" s="2">
        <v>20000</v>
      </c>
      <c r="E28" s="2">
        <v>1</v>
      </c>
      <c r="F28" s="2">
        <v>0</v>
      </c>
      <c r="G28" s="2">
        <v>-1</v>
      </c>
      <c r="H28" s="2">
        <v>0</v>
      </c>
    </row>
    <row r="29" spans="1:8" x14ac:dyDescent="0.3">
      <c r="A29" s="2">
        <v>8041</v>
      </c>
      <c r="B29" s="2" t="s">
        <v>53</v>
      </c>
      <c r="C29" s="2" t="s">
        <v>49</v>
      </c>
      <c r="D29" s="2">
        <v>10000</v>
      </c>
      <c r="E29" s="2">
        <v>1</v>
      </c>
      <c r="F29" s="2">
        <v>0</v>
      </c>
      <c r="G29" s="2">
        <v>-1</v>
      </c>
      <c r="H29" s="2">
        <v>1</v>
      </c>
    </row>
    <row r="30" spans="1:8" x14ac:dyDescent="0.3">
      <c r="A30" s="2">
        <v>8042</v>
      </c>
      <c r="B30" s="2" t="s">
        <v>57</v>
      </c>
      <c r="C30" s="2" t="s">
        <v>49</v>
      </c>
      <c r="D30" s="2">
        <v>20000</v>
      </c>
      <c r="E30" s="2">
        <v>1</v>
      </c>
      <c r="F30" s="2">
        <v>0</v>
      </c>
      <c r="G30" s="2">
        <v>-1</v>
      </c>
      <c r="H30" s="2">
        <v>0</v>
      </c>
    </row>
    <row r="31" spans="1:8" x14ac:dyDescent="0.3">
      <c r="A31" s="2">
        <v>9001</v>
      </c>
      <c r="B31" s="2" t="s">
        <v>330</v>
      </c>
      <c r="C31" s="2" t="s">
        <v>45</v>
      </c>
      <c r="D31" s="2">
        <v>0</v>
      </c>
      <c r="E31" s="2">
        <v>1</v>
      </c>
      <c r="F31" s="2">
        <v>0</v>
      </c>
      <c r="G31" s="2">
        <v>-1</v>
      </c>
      <c r="H31" s="2">
        <v>1</v>
      </c>
    </row>
    <row r="32" spans="1:8" x14ac:dyDescent="0.3">
      <c r="A32" s="2">
        <v>9011</v>
      </c>
      <c r="B32" s="2" t="s">
        <v>44</v>
      </c>
      <c r="C32" s="2" t="s">
        <v>45</v>
      </c>
      <c r="D32" s="2">
        <v>100000</v>
      </c>
      <c r="E32" s="2">
        <v>1</v>
      </c>
      <c r="F32" s="2">
        <v>0</v>
      </c>
      <c r="G32" s="2">
        <v>-1</v>
      </c>
      <c r="H32" s="2">
        <v>1</v>
      </c>
    </row>
    <row r="33" spans="1:8" x14ac:dyDescent="0.3">
      <c r="A33" s="2">
        <v>9021</v>
      </c>
      <c r="B33" s="2" t="s">
        <v>46</v>
      </c>
      <c r="C33" s="2" t="s">
        <v>45</v>
      </c>
      <c r="D33" s="2">
        <v>30000</v>
      </c>
      <c r="E33" s="2">
        <v>1</v>
      </c>
      <c r="F33" s="2">
        <v>0</v>
      </c>
      <c r="G33" s="2">
        <v>-1</v>
      </c>
      <c r="H33" s="2">
        <v>1</v>
      </c>
    </row>
  </sheetData>
  <sortState xmlns:xlrd2="http://schemas.microsoft.com/office/spreadsheetml/2017/richdata2" ref="A2:G33">
    <sortCondition ref="A2:A33"/>
  </sortState>
  <phoneticPr fontId="18" type="noConversion"/>
  <conditionalFormatting sqref="A1:A1048576">
    <cfRule type="expression" dxfId="22" priority="1">
      <formula>AND($A1 &gt;= 6000, $A1 &lt; 7000)</formula>
    </cfRule>
    <cfRule type="expression" dxfId="21" priority="2">
      <formula>AND($A1 &gt;= 7000, $A1 &lt; 8000)</formula>
    </cfRule>
    <cfRule type="expression" dxfId="20" priority="3">
      <formula>AND($A1 &gt;= 5000, $A1 &lt; 6000)</formula>
    </cfRule>
    <cfRule type="expression" dxfId="19" priority="4">
      <formula>AND($A1 &gt;= 9000, $A1 &lt; 10000)</formula>
    </cfRule>
    <cfRule type="expression" dxfId="18" priority="5">
      <formula>AND($A1 &gt;=8000, $A1 &lt; 9000)</formula>
    </cfRule>
    <cfRule type="expression" dxfId="17" priority="6">
      <formula>AND($A1 &gt;= 4000, $A1 &lt; 5000)</formula>
    </cfRule>
    <cfRule type="expression" dxfId="16" priority="7">
      <formula>AND($A1 &gt;= 3000, $A1 &lt; 4000)</formula>
    </cfRule>
    <cfRule type="expression" dxfId="15" priority="8">
      <formula>AND($A1 &gt;= 2000, $A1 &lt; 3000)</formula>
    </cfRule>
    <cfRule type="expression" dxfId="14" priority="9">
      <formula>AND($A1 &gt;= 1000, $A1 &lt; 2000)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CFD8-7062-4DFA-B86D-C27384DBCAB4}">
  <sheetPr codeName="Sheet2"/>
  <dimension ref="A1:C8"/>
  <sheetViews>
    <sheetView workbookViewId="0">
      <selection activeCell="F20" sqref="F20"/>
    </sheetView>
  </sheetViews>
  <sheetFormatPr defaultRowHeight="16.5" x14ac:dyDescent="0.3"/>
  <cols>
    <col min="1" max="1" width="13.875" style="2" bestFit="1" customWidth="1"/>
    <col min="2" max="2" width="39.625" style="2" bestFit="1" customWidth="1"/>
    <col min="3" max="3" width="9.25" style="2" bestFit="1" customWidth="1"/>
    <col min="4" max="4" width="9.875" style="2" bestFit="1" customWidth="1"/>
    <col min="5" max="5" width="6" style="2" bestFit="1" customWidth="1"/>
    <col min="6" max="6" width="13.875" style="2" bestFit="1" customWidth="1"/>
    <col min="7" max="16384" width="9" style="2"/>
  </cols>
  <sheetData>
    <row r="1" spans="1:3" s="1" customFormat="1" x14ac:dyDescent="0.3">
      <c r="A1" s="1" t="s">
        <v>69</v>
      </c>
      <c r="B1" s="1" t="s">
        <v>68</v>
      </c>
      <c r="C1" s="1" t="s">
        <v>67</v>
      </c>
    </row>
    <row r="2" spans="1:3" x14ac:dyDescent="0.3">
      <c r="A2" s="2" t="str" cm="1">
        <f t="array" ref="A2:A8">TRANSPOSE(ItemDataTable!A1:G1)</f>
        <v>ID</v>
      </c>
      <c r="B2" s="2" t="s">
        <v>70</v>
      </c>
      <c r="C2" s="2" t="s">
        <v>72</v>
      </c>
    </row>
    <row r="3" spans="1:3" x14ac:dyDescent="0.3">
      <c r="A3" s="2" t="str">
        <v>Name</v>
      </c>
      <c r="B3" s="2" t="s">
        <v>71</v>
      </c>
      <c r="C3" s="2" t="s">
        <v>73</v>
      </c>
    </row>
    <row r="4" spans="1:3" x14ac:dyDescent="0.3">
      <c r="A4" s="2" t="str">
        <v>Type</v>
      </c>
      <c r="B4" s="2" t="s">
        <v>77</v>
      </c>
      <c r="C4" s="2" t="s">
        <v>101</v>
      </c>
    </row>
    <row r="5" spans="1:3" x14ac:dyDescent="0.3">
      <c r="A5" s="2" t="str">
        <v>BasicPrice</v>
      </c>
      <c r="B5" s="2" t="s">
        <v>74</v>
      </c>
      <c r="C5" s="2" t="s">
        <v>72</v>
      </c>
    </row>
    <row r="6" spans="1:3" x14ac:dyDescent="0.3">
      <c r="A6" s="2" t="str">
        <v>Stack</v>
      </c>
      <c r="B6" s="2" t="s">
        <v>75</v>
      </c>
      <c r="C6" s="2" t="s">
        <v>72</v>
      </c>
    </row>
    <row r="7" spans="1:3" x14ac:dyDescent="0.3">
      <c r="A7" s="2" t="str">
        <v>MaxCapacity</v>
      </c>
      <c r="B7" s="2" t="s">
        <v>76</v>
      </c>
      <c r="C7" s="2" t="s">
        <v>72</v>
      </c>
    </row>
    <row r="8" spans="1:3" x14ac:dyDescent="0.3">
      <c r="A8" s="2" t="str">
        <v>StoragePeriod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62AF-9F9A-48F1-AC3A-75C77964B415}">
  <sheetPr codeName="Sheet3"/>
  <dimension ref="A1:G8"/>
  <sheetViews>
    <sheetView workbookViewId="0">
      <selection activeCell="M21" sqref="M21"/>
    </sheetView>
  </sheetViews>
  <sheetFormatPr defaultRowHeight="16.5" x14ac:dyDescent="0.3"/>
  <cols>
    <col min="1" max="1" width="7.125" style="2" bestFit="1" customWidth="1"/>
    <col min="2" max="2" width="10.375" style="2" bestFit="1" customWidth="1"/>
    <col min="3" max="3" width="9.25" style="2" bestFit="1" customWidth="1"/>
    <col min="4" max="4" width="11.75" style="2" bestFit="1" customWidth="1"/>
    <col min="5" max="6" width="12.125" style="2" bestFit="1" customWidth="1"/>
    <col min="7" max="7" width="9.25" style="2" bestFit="1" customWidth="1"/>
    <col min="8" max="8" width="9" style="2" bestFit="1" customWidth="1"/>
    <col min="9" max="9" width="18.875" style="2" bestFit="1" customWidth="1"/>
    <col min="10" max="16384" width="9" style="2"/>
  </cols>
  <sheetData>
    <row r="1" spans="1:7" s="1" customFormat="1" x14ac:dyDescent="0.3">
      <c r="A1" s="1" t="s">
        <v>384</v>
      </c>
      <c r="B1" s="1" t="s">
        <v>385</v>
      </c>
      <c r="C1" s="1" t="s">
        <v>67</v>
      </c>
      <c r="D1" s="1" t="s">
        <v>0</v>
      </c>
      <c r="E1" s="1" t="s">
        <v>1</v>
      </c>
      <c r="F1" s="1" t="s">
        <v>65</v>
      </c>
      <c r="G1" s="1" t="s">
        <v>64</v>
      </c>
    </row>
    <row r="2" spans="1:7" x14ac:dyDescent="0.3">
      <c r="A2" s="2">
        <v>1012</v>
      </c>
      <c r="B2" s="2" t="str">
        <f>VLOOKUP(A2, ItemDataTable!A:B, 2, FALSE)</f>
        <v>Corn</v>
      </c>
      <c r="C2" s="2" t="str">
        <f>VLOOKUP(A2, ItemDataTable!A:C,3,FALSE)</f>
        <v>Product</v>
      </c>
      <c r="D2" s="2">
        <v>0.02</v>
      </c>
      <c r="E2" s="2">
        <v>1</v>
      </c>
      <c r="F2" s="2">
        <v>1</v>
      </c>
      <c r="G2" s="2">
        <v>1</v>
      </c>
    </row>
    <row r="3" spans="1:7" x14ac:dyDescent="0.3">
      <c r="A3" s="2">
        <v>1022</v>
      </c>
      <c r="B3" s="2" t="str">
        <f>VLOOKUP(A3, ItemDataTable!A:B, 2, FALSE)</f>
        <v>Potato</v>
      </c>
      <c r="C3" s="2" t="str">
        <f>VLOOKUP(A3, ItemDataTable!A:C,3,FALSE)</f>
        <v>Product</v>
      </c>
      <c r="D3" s="2">
        <v>0.01</v>
      </c>
      <c r="E3" s="2">
        <v>60</v>
      </c>
      <c r="F3" s="2">
        <v>1</v>
      </c>
      <c r="G3" s="2">
        <v>1</v>
      </c>
    </row>
    <row r="4" spans="1:7" x14ac:dyDescent="0.3">
      <c r="A4" s="2">
        <v>2012</v>
      </c>
      <c r="B4" s="2" t="str">
        <f>VLOOKUP(A4, ItemDataTable!A:B, 2, FALSE)</f>
        <v>Carrot</v>
      </c>
      <c r="C4" s="2" t="str">
        <f>VLOOKUP(A4, ItemDataTable!A:C,3,FALSE)</f>
        <v>Product</v>
      </c>
      <c r="D4" s="2">
        <v>0.04</v>
      </c>
      <c r="E4" s="2">
        <v>120</v>
      </c>
      <c r="F4" s="2">
        <v>1</v>
      </c>
      <c r="G4" s="2">
        <v>1</v>
      </c>
    </row>
    <row r="5" spans="1:7" x14ac:dyDescent="0.3">
      <c r="A5" s="2">
        <v>2022</v>
      </c>
      <c r="B5" s="2" t="str">
        <f>VLOOKUP(A5, ItemDataTable!A:B, 2, FALSE)</f>
        <v>Onion</v>
      </c>
      <c r="C5" s="2" t="str">
        <f>VLOOKUP(A5, ItemDataTable!A:C,3,FALSE)</f>
        <v>Product</v>
      </c>
      <c r="D5" s="2">
        <v>0.05</v>
      </c>
      <c r="E5" s="2">
        <v>1</v>
      </c>
      <c r="F5" s="2">
        <v>1</v>
      </c>
      <c r="G5" s="2">
        <v>1</v>
      </c>
    </row>
    <row r="6" spans="1:7" x14ac:dyDescent="0.3">
      <c r="A6" s="2">
        <v>3012</v>
      </c>
      <c r="B6" s="2" t="str">
        <f>VLOOKUP(A6, ItemDataTable!A:B, 2, FALSE)</f>
        <v>Strawberry</v>
      </c>
      <c r="C6" s="2" t="str">
        <f>VLOOKUP(A6, ItemDataTable!A:C,3,FALSE)</f>
        <v>Product</v>
      </c>
      <c r="D6" s="2">
        <v>0.08</v>
      </c>
      <c r="E6" s="2">
        <v>300</v>
      </c>
      <c r="F6" s="2">
        <v>1</v>
      </c>
      <c r="G6" s="2">
        <v>1</v>
      </c>
    </row>
    <row r="7" spans="1:7" x14ac:dyDescent="0.3">
      <c r="A7" s="2">
        <v>3022</v>
      </c>
      <c r="B7" s="2" t="str">
        <f>VLOOKUP(A7, ItemDataTable!A:B, 2, FALSE)</f>
        <v>BlueBerry</v>
      </c>
      <c r="C7" s="2" t="str">
        <f>VLOOKUP(A7, ItemDataTable!A:C,3,FALSE)</f>
        <v>Product</v>
      </c>
      <c r="D7" s="2">
        <v>7.0000000000000007E-2</v>
      </c>
      <c r="E7" s="2">
        <v>1</v>
      </c>
      <c r="F7" s="2">
        <v>1</v>
      </c>
      <c r="G7" s="2">
        <v>1</v>
      </c>
    </row>
    <row r="8" spans="1:7" x14ac:dyDescent="0.3">
      <c r="A8" s="2">
        <v>4012</v>
      </c>
      <c r="B8" s="2" t="str">
        <f>VLOOKUP(A8, ItemDataTable!A:B, 2, FALSE)</f>
        <v>Milk</v>
      </c>
      <c r="C8" s="2" t="str">
        <f>VLOOKUP(A8, ItemDataTable!A:C,3,FALSE)</f>
        <v>Product</v>
      </c>
      <c r="D8" s="2">
        <v>0.2</v>
      </c>
      <c r="E8" s="2">
        <v>-1</v>
      </c>
      <c r="F8" s="2">
        <v>1</v>
      </c>
      <c r="G8" s="2">
        <v>1</v>
      </c>
    </row>
  </sheetData>
  <phoneticPr fontId="18" type="noConversion"/>
  <conditionalFormatting sqref="A1:A1048576">
    <cfRule type="expression" dxfId="13" priority="1">
      <formula>OR($C1="Seed",$C1="Material")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2395-F88D-430F-A64D-C09D9FD6DD70}">
  <sheetPr codeName="Sheet4"/>
  <dimension ref="A1:C10"/>
  <sheetViews>
    <sheetView workbookViewId="0">
      <selection activeCell="P29" sqref="P29"/>
    </sheetView>
  </sheetViews>
  <sheetFormatPr defaultRowHeight="16.5" x14ac:dyDescent="0.3"/>
  <cols>
    <col min="1" max="1" width="18.875" bestFit="1" customWidth="1"/>
    <col min="2" max="2" width="18.625" bestFit="1" customWidth="1"/>
    <col min="3" max="3" width="6.25" bestFit="1" customWidth="1"/>
  </cols>
  <sheetData>
    <row r="1" spans="1:3" s="5" customFormat="1" x14ac:dyDescent="0.3">
      <c r="A1" s="5" t="s">
        <v>69</v>
      </c>
      <c r="B1" s="5" t="s">
        <v>68</v>
      </c>
      <c r="C1" s="5" t="s">
        <v>67</v>
      </c>
    </row>
    <row r="2" spans="1:3" x14ac:dyDescent="0.3">
      <c r="A2" t="str" cm="1">
        <f t="array" ref="A2:A10">TRANSPOSE(ProductDataTable!A1:I1)</f>
        <v>ID</v>
      </c>
      <c r="B2" t="s">
        <v>70</v>
      </c>
      <c r="C2" t="s">
        <v>72</v>
      </c>
    </row>
    <row r="3" spans="1:3" x14ac:dyDescent="0.3">
      <c r="A3" t="str">
        <v>Name</v>
      </c>
      <c r="B3" t="s">
        <v>71</v>
      </c>
      <c r="C3" t="s">
        <v>73</v>
      </c>
    </row>
    <row r="4" spans="1:3" x14ac:dyDescent="0.3">
      <c r="A4" t="str">
        <v>Type</v>
      </c>
      <c r="B4" t="s">
        <v>94</v>
      </c>
      <c r="C4" t="s">
        <v>101</v>
      </c>
    </row>
    <row r="5" spans="1:3" x14ac:dyDescent="0.3">
      <c r="A5" t="str">
        <v>PriceStdDev</v>
      </c>
      <c r="B5" t="s">
        <v>95</v>
      </c>
      <c r="C5" t="s">
        <v>93</v>
      </c>
    </row>
    <row r="6" spans="1:3" x14ac:dyDescent="0.3">
      <c r="A6" t="str">
        <v>GrowthTime</v>
      </c>
      <c r="B6" t="s">
        <v>96</v>
      </c>
      <c r="C6" t="s">
        <v>72</v>
      </c>
    </row>
    <row r="7" spans="1:3" x14ac:dyDescent="0.3">
      <c r="A7" t="str">
        <v>MaxYield</v>
      </c>
      <c r="B7" t="s">
        <v>97</v>
      </c>
      <c r="C7" t="s">
        <v>72</v>
      </c>
    </row>
    <row r="8" spans="1:3" x14ac:dyDescent="0.3">
      <c r="A8" t="str">
        <v>MinYield</v>
      </c>
      <c r="B8" t="s">
        <v>98</v>
      </c>
      <c r="C8" t="s">
        <v>72</v>
      </c>
    </row>
    <row r="9" spans="1:3" x14ac:dyDescent="0.3">
      <c r="A9">
        <v>0</v>
      </c>
      <c r="B9" t="s">
        <v>99</v>
      </c>
      <c r="C9" t="s">
        <v>72</v>
      </c>
    </row>
    <row r="10" spans="1:3" x14ac:dyDescent="0.3">
      <c r="A10">
        <v>0</v>
      </c>
      <c r="B10" t="s">
        <v>100</v>
      </c>
      <c r="C10" t="s">
        <v>72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13AC-7E74-42D9-8201-7830AAD06556}">
  <sheetPr codeName="Sheet5"/>
  <dimension ref="A1:O5"/>
  <sheetViews>
    <sheetView workbookViewId="0">
      <selection activeCell="U29" sqref="U29"/>
    </sheetView>
  </sheetViews>
  <sheetFormatPr defaultRowHeight="16.5" x14ac:dyDescent="0.3"/>
  <cols>
    <col min="1" max="1" width="9.75" style="3" bestFit="1" customWidth="1"/>
    <col min="2" max="2" width="13.125" style="3" bestFit="1" customWidth="1"/>
    <col min="3" max="3" width="9.375" style="3" customWidth="1"/>
    <col min="4" max="4" width="8.375" style="3" bestFit="1" customWidth="1"/>
    <col min="5" max="5" width="7.25" style="3" bestFit="1" customWidth="1"/>
    <col min="6" max="6" width="6.75" style="3" bestFit="1" customWidth="1"/>
    <col min="7" max="7" width="13.875" style="3" bestFit="1" customWidth="1"/>
    <col min="8" max="8" width="9.875" style="3" bestFit="1" customWidth="1"/>
    <col min="9" max="9" width="15.125" style="3" bestFit="1" customWidth="1"/>
    <col min="10" max="10" width="12.875" bestFit="1" customWidth="1"/>
    <col min="11" max="11" width="12.125" style="3" bestFit="1" customWidth="1"/>
    <col min="12" max="12" width="13.125" style="3" bestFit="1" customWidth="1"/>
    <col min="13" max="14" width="9" style="3"/>
    <col min="16" max="16384" width="9" style="3"/>
  </cols>
  <sheetData>
    <row r="1" spans="1:11" s="1" customFormat="1" x14ac:dyDescent="0.3">
      <c r="A1" s="1" t="s">
        <v>382</v>
      </c>
      <c r="B1" s="1" t="s">
        <v>386</v>
      </c>
      <c r="C1" s="1" t="s">
        <v>67</v>
      </c>
      <c r="D1" s="1" t="s">
        <v>47</v>
      </c>
      <c r="E1" s="1" t="s">
        <v>48</v>
      </c>
      <c r="F1" s="1" t="s">
        <v>41</v>
      </c>
      <c r="G1" s="4" t="s">
        <v>111</v>
      </c>
      <c r="H1" s="1" t="s">
        <v>377</v>
      </c>
      <c r="I1" s="1" t="s">
        <v>378</v>
      </c>
      <c r="J1" s="1" t="s">
        <v>387</v>
      </c>
      <c r="K1" s="1" t="s">
        <v>388</v>
      </c>
    </row>
    <row r="2" spans="1:11" x14ac:dyDescent="0.3">
      <c r="A2" s="3">
        <v>6011</v>
      </c>
      <c r="B2" s="3" t="s">
        <v>42</v>
      </c>
      <c r="C2" s="3" t="s">
        <v>108</v>
      </c>
      <c r="D2" s="3">
        <v>5</v>
      </c>
      <c r="E2" s="3">
        <v>3</v>
      </c>
      <c r="F2" s="3">
        <v>1</v>
      </c>
      <c r="G2" s="3">
        <v>10</v>
      </c>
      <c r="H2" s="3">
        <v>0</v>
      </c>
      <c r="I2" s="3">
        <v>0</v>
      </c>
      <c r="J2" s="3">
        <v>-1</v>
      </c>
      <c r="K2" s="3">
        <v>-1</v>
      </c>
    </row>
    <row r="3" spans="1:11" x14ac:dyDescent="0.3">
      <c r="A3" s="3">
        <v>6021</v>
      </c>
      <c r="B3" s="3" t="s">
        <v>43</v>
      </c>
      <c r="C3" s="3" t="s">
        <v>109</v>
      </c>
      <c r="D3" s="3">
        <v>10</v>
      </c>
      <c r="E3" s="3">
        <v>1</v>
      </c>
      <c r="F3" s="3">
        <v>4</v>
      </c>
      <c r="G3" s="3">
        <v>6</v>
      </c>
      <c r="H3" s="3">
        <v>0</v>
      </c>
      <c r="I3" s="3">
        <v>0</v>
      </c>
      <c r="J3" s="3">
        <v>-1</v>
      </c>
      <c r="K3" s="3">
        <v>-1</v>
      </c>
    </row>
    <row r="4" spans="1:11" x14ac:dyDescent="0.3">
      <c r="A4" s="3">
        <v>6031</v>
      </c>
      <c r="B4" s="3" t="s">
        <v>106</v>
      </c>
      <c r="C4" s="3" t="s">
        <v>107</v>
      </c>
      <c r="D4" s="3">
        <v>0</v>
      </c>
      <c r="E4" s="3">
        <v>0</v>
      </c>
      <c r="F4" s="3">
        <v>6</v>
      </c>
      <c r="G4" s="3">
        <v>0</v>
      </c>
      <c r="H4" s="3">
        <v>2</v>
      </c>
      <c r="I4" s="3">
        <v>6</v>
      </c>
      <c r="J4" s="3">
        <v>4011</v>
      </c>
      <c r="K4" s="3">
        <v>4012</v>
      </c>
    </row>
    <row r="5" spans="1:11" x14ac:dyDescent="0.3">
      <c r="A5" s="3">
        <v>6032</v>
      </c>
      <c r="B5" s="3" t="s">
        <v>379</v>
      </c>
      <c r="C5" s="3" t="s">
        <v>107</v>
      </c>
      <c r="D5" s="3">
        <v>0</v>
      </c>
      <c r="E5" s="3">
        <v>0</v>
      </c>
      <c r="F5" s="3">
        <v>3</v>
      </c>
      <c r="G5" s="3">
        <v>0</v>
      </c>
      <c r="H5" s="3">
        <v>1</v>
      </c>
      <c r="I5" s="3">
        <v>12</v>
      </c>
      <c r="J5" s="3">
        <v>-1</v>
      </c>
      <c r="K5" s="3">
        <v>-1</v>
      </c>
    </row>
  </sheetData>
  <phoneticPr fontId="18" type="noConversion"/>
  <conditionalFormatting sqref="B1:B4 A5:A1048576">
    <cfRule type="expression" dxfId="12" priority="1">
      <formula>Prototype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12FE-3D1B-4A6F-9A93-1E89BB0AD02C}">
  <sheetPr codeName="Sheet6"/>
  <dimension ref="A1:C11"/>
  <sheetViews>
    <sheetView workbookViewId="0">
      <selection activeCell="G27" sqref="G27"/>
    </sheetView>
  </sheetViews>
  <sheetFormatPr defaultRowHeight="16.5" x14ac:dyDescent="0.3"/>
  <cols>
    <col min="1" max="1" width="18.625" bestFit="1" customWidth="1"/>
    <col min="2" max="2" width="46.375" bestFit="1" customWidth="1"/>
  </cols>
  <sheetData>
    <row r="1" spans="1:3" s="5" customFormat="1" ht="15.75" customHeight="1" x14ac:dyDescent="0.3">
      <c r="A1" s="1" t="s">
        <v>69</v>
      </c>
      <c r="B1" s="1" t="s">
        <v>68</v>
      </c>
      <c r="C1" s="1" t="s">
        <v>67</v>
      </c>
    </row>
    <row r="2" spans="1:3" x14ac:dyDescent="0.3">
      <c r="A2" t="str" cm="1">
        <f t="array" ref="A2:A10">TRANSPOSE(ObjectDataTable!A1:I1)</f>
        <v>ID</v>
      </c>
      <c r="B2" s="2" t="s">
        <v>112</v>
      </c>
      <c r="C2" t="s">
        <v>72</v>
      </c>
    </row>
    <row r="3" spans="1:3" x14ac:dyDescent="0.3">
      <c r="A3" t="str">
        <v>Name</v>
      </c>
      <c r="B3" s="2" t="s">
        <v>113</v>
      </c>
      <c r="C3" t="s">
        <v>73</v>
      </c>
    </row>
    <row r="4" spans="1:3" x14ac:dyDescent="0.3">
      <c r="A4" t="str">
        <v>Type</v>
      </c>
      <c r="B4" s="2" t="s">
        <v>114</v>
      </c>
      <c r="C4" t="s">
        <v>101</v>
      </c>
    </row>
    <row r="5" spans="1:3" x14ac:dyDescent="0.3">
      <c r="A5" t="str">
        <v>MainInv</v>
      </c>
      <c r="B5" s="2" t="s">
        <v>115</v>
      </c>
      <c r="C5" t="s">
        <v>72</v>
      </c>
    </row>
    <row r="6" spans="1:3" x14ac:dyDescent="0.3">
      <c r="A6" t="str">
        <v>SubInv</v>
      </c>
      <c r="B6" s="2" t="s">
        <v>116</v>
      </c>
      <c r="C6" t="s">
        <v>72</v>
      </c>
    </row>
    <row r="7" spans="1:3" x14ac:dyDescent="0.3">
      <c r="A7" t="str">
        <v>Speed</v>
      </c>
      <c r="B7" s="2" t="s">
        <v>117</v>
      </c>
      <c r="C7" t="s">
        <v>72</v>
      </c>
    </row>
    <row r="8" spans="1:3" x14ac:dyDescent="0.3">
      <c r="A8" t="str">
        <v>WorkDuration</v>
      </c>
      <c r="B8" s="2" t="s">
        <v>118</v>
      </c>
      <c r="C8" t="s">
        <v>93</v>
      </c>
    </row>
    <row r="9" spans="1:3" x14ac:dyDescent="0.3">
      <c r="A9" t="str">
        <v>DailyYield</v>
      </c>
      <c r="B9" s="2" t="s">
        <v>119</v>
      </c>
      <c r="C9" t="s">
        <v>93</v>
      </c>
    </row>
    <row r="10" spans="1:3" x14ac:dyDescent="0.3">
      <c r="A10" t="str">
        <v>YieldCoolDown</v>
      </c>
      <c r="B10" s="2" t="s">
        <v>120</v>
      </c>
      <c r="C10" t="s">
        <v>72</v>
      </c>
    </row>
    <row r="11" spans="1:3" x14ac:dyDescent="0.3">
      <c r="B11" s="2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0EA1-F814-4A73-A11F-F66CD4A7D6E3}">
  <sheetPr codeName="Sheet7"/>
  <dimension ref="A1:E20"/>
  <sheetViews>
    <sheetView workbookViewId="0">
      <selection activeCell="F23" sqref="F23"/>
    </sheetView>
  </sheetViews>
  <sheetFormatPr defaultRowHeight="16.5" x14ac:dyDescent="0.3"/>
  <cols>
    <col min="1" max="1" width="8" style="2" bestFit="1" customWidth="1"/>
    <col min="2" max="2" width="24.125" style="2" bestFit="1" customWidth="1"/>
    <col min="3" max="4" width="9" style="2"/>
    <col min="5" max="5" width="106.125" style="2" bestFit="1" customWidth="1"/>
    <col min="6" max="6" width="12.125" style="2" bestFit="1" customWidth="1"/>
    <col min="7" max="16384" width="9" style="2"/>
  </cols>
  <sheetData>
    <row r="1" spans="1:5" s="1" customFormat="1" x14ac:dyDescent="0.3">
      <c r="A1" s="1" t="s">
        <v>382</v>
      </c>
      <c r="B1" s="1" t="s">
        <v>67</v>
      </c>
      <c r="C1" s="1" t="s">
        <v>15</v>
      </c>
      <c r="D1" s="1" t="s">
        <v>16</v>
      </c>
      <c r="E1" s="1" t="s">
        <v>17</v>
      </c>
    </row>
    <row r="2" spans="1:5" x14ac:dyDescent="0.3">
      <c r="A2" s="2">
        <v>101</v>
      </c>
      <c r="B2" s="2" t="s">
        <v>18</v>
      </c>
      <c r="C2" s="2">
        <v>0.01</v>
      </c>
      <c r="D2" s="2">
        <v>0</v>
      </c>
      <c r="E2" s="2" t="s">
        <v>78</v>
      </c>
    </row>
    <row r="3" spans="1:5" x14ac:dyDescent="0.3">
      <c r="A3" s="2">
        <v>102</v>
      </c>
      <c r="B3" s="2" t="s">
        <v>19</v>
      </c>
      <c r="C3" s="2">
        <v>-0.01</v>
      </c>
      <c r="D3" s="2">
        <v>0</v>
      </c>
      <c r="E3" s="2" t="s">
        <v>79</v>
      </c>
    </row>
    <row r="4" spans="1:5" x14ac:dyDescent="0.3">
      <c r="A4" s="2">
        <v>103</v>
      </c>
      <c r="B4" s="2" t="s">
        <v>20</v>
      </c>
      <c r="C4" s="2">
        <v>0.03</v>
      </c>
      <c r="D4" s="2">
        <v>0</v>
      </c>
      <c r="E4" s="2" t="s">
        <v>80</v>
      </c>
    </row>
    <row r="5" spans="1:5" x14ac:dyDescent="0.3">
      <c r="A5" s="2">
        <v>104</v>
      </c>
      <c r="B5" s="2" t="s">
        <v>21</v>
      </c>
      <c r="C5" s="2">
        <v>-0.03</v>
      </c>
      <c r="D5" s="2">
        <v>0</v>
      </c>
      <c r="E5" s="2" t="s">
        <v>81</v>
      </c>
    </row>
    <row r="6" spans="1:5" x14ac:dyDescent="0.3">
      <c r="A6" s="2">
        <v>105</v>
      </c>
      <c r="B6" s="2" t="s">
        <v>39</v>
      </c>
      <c r="C6" s="2">
        <v>0.05</v>
      </c>
      <c r="D6" s="2">
        <v>0</v>
      </c>
      <c r="E6" s="2" t="s">
        <v>82</v>
      </c>
    </row>
    <row r="7" spans="1:5" x14ac:dyDescent="0.3">
      <c r="A7" s="2">
        <v>106</v>
      </c>
      <c r="B7" s="2" t="s">
        <v>40</v>
      </c>
      <c r="C7" s="2">
        <v>-0.05</v>
      </c>
      <c r="D7" s="2">
        <v>0</v>
      </c>
      <c r="E7" s="2" t="s">
        <v>83</v>
      </c>
    </row>
    <row r="8" spans="1:5" x14ac:dyDescent="0.3">
      <c r="A8" s="2">
        <v>201</v>
      </c>
      <c r="B8" s="2" t="s">
        <v>22</v>
      </c>
      <c r="C8" s="2">
        <v>-0.03</v>
      </c>
      <c r="D8" s="2">
        <v>0</v>
      </c>
      <c r="E8" s="2" t="s">
        <v>86</v>
      </c>
    </row>
    <row r="9" spans="1:5" x14ac:dyDescent="0.3">
      <c r="A9" s="2">
        <v>202</v>
      </c>
      <c r="B9" s="2" t="s">
        <v>23</v>
      </c>
      <c r="C9" s="2">
        <v>0.01</v>
      </c>
      <c r="D9" s="2">
        <v>201</v>
      </c>
      <c r="E9" s="2" t="s">
        <v>84</v>
      </c>
    </row>
    <row r="10" spans="1:5" x14ac:dyDescent="0.3">
      <c r="A10" s="2">
        <v>203</v>
      </c>
      <c r="B10" s="2" t="s">
        <v>24</v>
      </c>
      <c r="C10" s="2">
        <v>0.02</v>
      </c>
      <c r="D10" s="2">
        <v>202</v>
      </c>
      <c r="E10" s="2" t="s">
        <v>85</v>
      </c>
    </row>
    <row r="11" spans="1:5" x14ac:dyDescent="0.3">
      <c r="A11" s="2">
        <v>211</v>
      </c>
      <c r="B11" s="2" t="s">
        <v>25</v>
      </c>
      <c r="C11" s="2">
        <v>0.05</v>
      </c>
      <c r="D11" s="2">
        <v>0</v>
      </c>
      <c r="E11" s="2" t="s">
        <v>26</v>
      </c>
    </row>
    <row r="12" spans="1:5" x14ac:dyDescent="0.3">
      <c r="A12" s="2">
        <v>212</v>
      </c>
      <c r="B12" s="2" t="s">
        <v>27</v>
      </c>
      <c r="C12" s="2">
        <v>-0.05</v>
      </c>
      <c r="D12" s="2">
        <v>0</v>
      </c>
      <c r="E12" s="2" t="s">
        <v>28</v>
      </c>
    </row>
    <row r="13" spans="1:5" x14ac:dyDescent="0.3">
      <c r="A13" s="2">
        <v>213</v>
      </c>
      <c r="B13" s="2" t="s">
        <v>29</v>
      </c>
      <c r="C13" s="2">
        <v>0.03</v>
      </c>
      <c r="D13" s="2">
        <v>0</v>
      </c>
      <c r="E13" s="2" t="s">
        <v>30</v>
      </c>
    </row>
    <row r="14" spans="1:5" x14ac:dyDescent="0.3">
      <c r="A14" s="2">
        <v>214</v>
      </c>
      <c r="B14" s="2" t="s">
        <v>31</v>
      </c>
      <c r="C14" s="2">
        <v>-0.03</v>
      </c>
      <c r="D14" s="2">
        <v>213</v>
      </c>
      <c r="E14" s="2" t="s">
        <v>32</v>
      </c>
    </row>
    <row r="15" spans="1:5" x14ac:dyDescent="0.3">
      <c r="A15" s="2">
        <v>301</v>
      </c>
      <c r="B15" s="2" t="s">
        <v>33</v>
      </c>
      <c r="C15" s="2">
        <v>0.03</v>
      </c>
      <c r="D15" s="2">
        <v>0</v>
      </c>
      <c r="E15" s="2" t="s">
        <v>87</v>
      </c>
    </row>
    <row r="16" spans="1:5" x14ac:dyDescent="0.3">
      <c r="A16" s="2">
        <v>302</v>
      </c>
      <c r="B16" s="2" t="s">
        <v>34</v>
      </c>
      <c r="C16" s="2">
        <v>-0.03</v>
      </c>
      <c r="D16" s="2">
        <v>0</v>
      </c>
      <c r="E16" s="2" t="s">
        <v>88</v>
      </c>
    </row>
    <row r="17" spans="1:5" x14ac:dyDescent="0.3">
      <c r="A17" s="2">
        <v>303</v>
      </c>
      <c r="B17" s="2" t="s">
        <v>35</v>
      </c>
      <c r="C17" s="2">
        <v>0.04</v>
      </c>
      <c r="D17" s="2">
        <v>302</v>
      </c>
      <c r="E17" s="2" t="s">
        <v>92</v>
      </c>
    </row>
    <row r="18" spans="1:5" x14ac:dyDescent="0.3">
      <c r="A18" s="2">
        <v>304</v>
      </c>
      <c r="B18" s="2" t="s">
        <v>38</v>
      </c>
      <c r="C18" s="2">
        <v>-0.02</v>
      </c>
      <c r="D18" s="2">
        <v>302</v>
      </c>
      <c r="E18" s="2" t="s">
        <v>89</v>
      </c>
    </row>
    <row r="19" spans="1:5" x14ac:dyDescent="0.3">
      <c r="A19" s="2">
        <v>311</v>
      </c>
      <c r="B19" s="2" t="s">
        <v>36</v>
      </c>
      <c r="C19" s="2">
        <v>0.04</v>
      </c>
      <c r="D19" s="2">
        <v>0</v>
      </c>
      <c r="E19" s="2" t="s">
        <v>90</v>
      </c>
    </row>
    <row r="20" spans="1:5" x14ac:dyDescent="0.3">
      <c r="A20" s="2">
        <v>312</v>
      </c>
      <c r="B20" s="2" t="s">
        <v>37</v>
      </c>
      <c r="C20" s="2">
        <v>-0.03</v>
      </c>
      <c r="D20" s="2">
        <v>0</v>
      </c>
      <c r="E20" s="2" t="s">
        <v>91</v>
      </c>
    </row>
  </sheetData>
  <sortState xmlns:xlrd2="http://schemas.microsoft.com/office/spreadsheetml/2017/richdata2" ref="A2:E20">
    <sortCondition ref="A2:A20"/>
  </sortState>
  <phoneticPr fontId="18" type="noConversion"/>
  <conditionalFormatting sqref="A2:A20">
    <cfRule type="expression" dxfId="11" priority="1">
      <formula>AND(A2 &gt; 300, A2 &lt; 400)</formula>
    </cfRule>
    <cfRule type="expression" dxfId="10" priority="2">
      <formula>AND(A2 &gt; 200, A2 &lt; 300)</formula>
    </cfRule>
    <cfRule type="expression" dxfId="9" priority="3">
      <formula>AND(A2 &gt; 100, A2 &lt; 200)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902D-6443-438F-90C7-179D093475FD}">
  <sheetPr codeName="Sheet8"/>
  <dimension ref="A1:H16"/>
  <sheetViews>
    <sheetView workbookViewId="0">
      <selection activeCell="P14" sqref="P14"/>
    </sheetView>
  </sheetViews>
  <sheetFormatPr defaultRowHeight="16.5" x14ac:dyDescent="0.3"/>
  <cols>
    <col min="1" max="1" width="15.125" style="2" bestFit="1" customWidth="1"/>
    <col min="2" max="4" width="15.875" style="2" bestFit="1" customWidth="1"/>
    <col min="5" max="6" width="9.75" style="2" bestFit="1" customWidth="1"/>
    <col min="7" max="7" width="12.625" style="2" bestFit="1" customWidth="1"/>
    <col min="8" max="8" width="15.875" style="2" bestFit="1" customWidth="1"/>
    <col min="9" max="16384" width="9" style="2"/>
  </cols>
  <sheetData>
    <row r="1" spans="1:8" s="1" customFormat="1" x14ac:dyDescent="0.3">
      <c r="A1" s="1" t="s">
        <v>382</v>
      </c>
      <c r="B1" s="1" t="s">
        <v>383</v>
      </c>
      <c r="C1" s="1" t="s">
        <v>67</v>
      </c>
      <c r="D1" s="1" t="s">
        <v>142</v>
      </c>
      <c r="E1" s="1" t="s">
        <v>157</v>
      </c>
      <c r="F1" s="1" t="s">
        <v>158</v>
      </c>
      <c r="G1" s="1" t="s">
        <v>122</v>
      </c>
      <c r="H1" s="1" t="s">
        <v>146</v>
      </c>
    </row>
    <row r="2" spans="1:8" x14ac:dyDescent="0.3">
      <c r="A2" s="2">
        <v>11</v>
      </c>
      <c r="B2" s="2" t="s">
        <v>126</v>
      </c>
      <c r="C2" s="2" t="s">
        <v>394</v>
      </c>
      <c r="D2" s="2" t="s">
        <v>123</v>
      </c>
      <c r="E2" s="2" t="s">
        <v>159</v>
      </c>
      <c r="F2" s="2" t="s">
        <v>159</v>
      </c>
      <c r="G2" s="2">
        <v>0</v>
      </c>
      <c r="H2" s="2" t="s">
        <v>148</v>
      </c>
    </row>
    <row r="3" spans="1:8" x14ac:dyDescent="0.3">
      <c r="A3" s="2">
        <v>12</v>
      </c>
      <c r="B3" s="2" t="s">
        <v>124</v>
      </c>
      <c r="C3" s="2" t="s">
        <v>144</v>
      </c>
      <c r="D3" s="2" t="s">
        <v>125</v>
      </c>
      <c r="E3" s="2" t="s">
        <v>159</v>
      </c>
      <c r="F3" s="2" t="s">
        <v>159</v>
      </c>
      <c r="G3" s="2">
        <v>0</v>
      </c>
      <c r="H3" s="2" t="s">
        <v>147</v>
      </c>
    </row>
    <row r="4" spans="1:8" x14ac:dyDescent="0.3">
      <c r="A4" s="2">
        <v>13</v>
      </c>
      <c r="B4" s="2" t="s">
        <v>400</v>
      </c>
      <c r="C4" s="2" t="s">
        <v>394</v>
      </c>
      <c r="D4" s="2" t="s">
        <v>390</v>
      </c>
      <c r="E4" s="2" t="s">
        <v>159</v>
      </c>
      <c r="F4" s="2" t="s">
        <v>159</v>
      </c>
      <c r="G4" s="2">
        <v>1</v>
      </c>
      <c r="H4" s="2" t="s">
        <v>397</v>
      </c>
    </row>
    <row r="5" spans="1:8" x14ac:dyDescent="0.3">
      <c r="A5" s="2">
        <v>14</v>
      </c>
      <c r="B5" s="2" t="s">
        <v>395</v>
      </c>
      <c r="C5" s="2" t="s">
        <v>394</v>
      </c>
      <c r="D5" s="2" t="s">
        <v>391</v>
      </c>
      <c r="E5" s="2" t="s">
        <v>159</v>
      </c>
      <c r="F5" s="2" t="s">
        <v>159</v>
      </c>
      <c r="G5" s="2">
        <v>1</v>
      </c>
      <c r="H5" s="2" t="s">
        <v>398</v>
      </c>
    </row>
    <row r="6" spans="1:8" x14ac:dyDescent="0.3">
      <c r="A6" s="2">
        <v>15</v>
      </c>
      <c r="B6" s="2" t="s">
        <v>401</v>
      </c>
      <c r="C6" s="2" t="s">
        <v>394</v>
      </c>
      <c r="D6" s="2" t="s">
        <v>392</v>
      </c>
      <c r="E6" s="2" t="s">
        <v>159</v>
      </c>
      <c r="F6" s="2" t="s">
        <v>159</v>
      </c>
      <c r="G6" s="2">
        <v>1</v>
      </c>
      <c r="H6" s="2" t="s">
        <v>399</v>
      </c>
    </row>
    <row r="7" spans="1:8" x14ac:dyDescent="0.3">
      <c r="A7" s="2">
        <v>16</v>
      </c>
      <c r="B7" s="2" t="s">
        <v>396</v>
      </c>
      <c r="C7" s="2" t="s">
        <v>394</v>
      </c>
      <c r="D7" s="2" t="s">
        <v>393</v>
      </c>
      <c r="E7" s="2" t="s">
        <v>159</v>
      </c>
      <c r="F7" s="2" t="s">
        <v>159</v>
      </c>
      <c r="G7" s="2">
        <v>1</v>
      </c>
      <c r="H7" s="2" t="s">
        <v>402</v>
      </c>
    </row>
    <row r="8" spans="1:8" x14ac:dyDescent="0.3">
      <c r="A8" s="2">
        <v>21</v>
      </c>
      <c r="B8" s="2" t="s">
        <v>128</v>
      </c>
      <c r="C8" s="2" t="s">
        <v>143</v>
      </c>
      <c r="D8" s="2" t="s">
        <v>127</v>
      </c>
      <c r="E8" s="2" t="s">
        <v>159</v>
      </c>
      <c r="F8" s="2" t="s">
        <v>159</v>
      </c>
      <c r="G8" s="2">
        <v>1</v>
      </c>
      <c r="H8" s="2" t="s">
        <v>149</v>
      </c>
    </row>
    <row r="9" spans="1:8" x14ac:dyDescent="0.3">
      <c r="A9" s="2">
        <v>22</v>
      </c>
      <c r="B9" s="2" t="s">
        <v>129</v>
      </c>
      <c r="C9" s="2" t="s">
        <v>143</v>
      </c>
      <c r="D9" s="2" t="s">
        <v>403</v>
      </c>
      <c r="E9" s="2" t="s">
        <v>159</v>
      </c>
      <c r="F9" s="2" t="s">
        <v>159</v>
      </c>
      <c r="G9" s="2">
        <v>1</v>
      </c>
      <c r="H9" s="2" t="s">
        <v>150</v>
      </c>
    </row>
    <row r="10" spans="1:8" x14ac:dyDescent="0.3">
      <c r="A10" s="2">
        <v>23</v>
      </c>
      <c r="B10" s="2" t="s">
        <v>131</v>
      </c>
      <c r="C10" s="2" t="s">
        <v>143</v>
      </c>
      <c r="D10" s="2" t="s">
        <v>130</v>
      </c>
      <c r="E10" s="2" t="s">
        <v>159</v>
      </c>
      <c r="F10" s="2" t="s">
        <v>159</v>
      </c>
      <c r="G10" s="2">
        <v>1</v>
      </c>
      <c r="H10" s="2" t="s">
        <v>151</v>
      </c>
    </row>
    <row r="11" spans="1:8" x14ac:dyDescent="0.3">
      <c r="A11" s="2">
        <v>24</v>
      </c>
      <c r="B11" s="2" t="s">
        <v>133</v>
      </c>
      <c r="C11" s="2" t="s">
        <v>143</v>
      </c>
      <c r="D11" s="2" t="s">
        <v>132</v>
      </c>
      <c r="E11" s="2" t="s">
        <v>159</v>
      </c>
      <c r="F11" s="2" t="s">
        <v>159</v>
      </c>
      <c r="G11" s="2">
        <v>1</v>
      </c>
      <c r="H11" s="2" t="s">
        <v>152</v>
      </c>
    </row>
    <row r="12" spans="1:8" x14ac:dyDescent="0.3">
      <c r="A12" s="2">
        <v>25</v>
      </c>
      <c r="B12" s="2" t="s">
        <v>135</v>
      </c>
      <c r="C12" s="2" t="s">
        <v>143</v>
      </c>
      <c r="D12" s="2" t="s">
        <v>134</v>
      </c>
      <c r="E12" s="2" t="s">
        <v>159</v>
      </c>
      <c r="F12" s="2" t="s">
        <v>159</v>
      </c>
      <c r="G12" s="2">
        <v>1</v>
      </c>
      <c r="H12" s="2" t="s">
        <v>153</v>
      </c>
    </row>
    <row r="13" spans="1:8" x14ac:dyDescent="0.3">
      <c r="A13" s="2">
        <v>29</v>
      </c>
      <c r="B13" s="2" t="s">
        <v>160</v>
      </c>
      <c r="C13" s="2" t="s">
        <v>143</v>
      </c>
      <c r="D13" s="2" t="s">
        <v>161</v>
      </c>
      <c r="E13" s="2" t="s">
        <v>159</v>
      </c>
      <c r="F13" s="2" t="s">
        <v>159</v>
      </c>
      <c r="G13" s="2">
        <v>0</v>
      </c>
      <c r="H13" s="2" t="s">
        <v>162</v>
      </c>
    </row>
    <row r="14" spans="1:8" x14ac:dyDescent="0.3">
      <c r="A14" s="2">
        <v>41</v>
      </c>
      <c r="B14" s="2" t="s">
        <v>136</v>
      </c>
      <c r="C14" s="2" t="s">
        <v>145</v>
      </c>
      <c r="D14" s="2">
        <v>1</v>
      </c>
      <c r="E14" s="2" t="s">
        <v>159</v>
      </c>
      <c r="F14" s="2" t="s">
        <v>159</v>
      </c>
      <c r="G14" s="2">
        <v>1</v>
      </c>
      <c r="H14" s="2" t="s">
        <v>154</v>
      </c>
    </row>
    <row r="15" spans="1:8" x14ac:dyDescent="0.3">
      <c r="A15" s="2">
        <v>42</v>
      </c>
      <c r="B15" s="2" t="s">
        <v>137</v>
      </c>
      <c r="C15" s="2" t="s">
        <v>145</v>
      </c>
      <c r="D15" s="2">
        <v>2</v>
      </c>
      <c r="E15" s="2" t="s">
        <v>159</v>
      </c>
      <c r="F15" s="2" t="s">
        <v>159</v>
      </c>
      <c r="G15" s="2">
        <v>1</v>
      </c>
      <c r="H15" s="2" t="s">
        <v>155</v>
      </c>
    </row>
    <row r="16" spans="1:8" x14ac:dyDescent="0.3">
      <c r="A16" s="2">
        <v>43</v>
      </c>
      <c r="B16" s="2" t="s">
        <v>138</v>
      </c>
      <c r="C16" s="2" t="s">
        <v>145</v>
      </c>
      <c r="D16" s="2">
        <v>3</v>
      </c>
      <c r="E16" s="2" t="s">
        <v>159</v>
      </c>
      <c r="F16" s="2" t="s">
        <v>159</v>
      </c>
      <c r="G16" s="2">
        <v>1</v>
      </c>
      <c r="H16" s="2" t="s">
        <v>156</v>
      </c>
    </row>
  </sheetData>
  <sortState xmlns:xlrd2="http://schemas.microsoft.com/office/spreadsheetml/2017/richdata2" ref="A2:H16">
    <sortCondition ref="A2:A16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2DA5-BF28-40FD-BA0C-E037F8F1DE98}">
  <sheetPr codeName="Sheet9"/>
  <dimension ref="A1:C33"/>
  <sheetViews>
    <sheetView topLeftCell="A3" workbookViewId="0">
      <selection activeCell="Q30" sqref="Q30"/>
    </sheetView>
  </sheetViews>
  <sheetFormatPr defaultRowHeight="16.5" x14ac:dyDescent="0.3"/>
  <cols>
    <col min="1" max="1" width="7.125" style="2" bestFit="1" customWidth="1"/>
    <col min="2" max="2" width="15" style="2" bestFit="1" customWidth="1"/>
    <col min="3" max="3" width="16.5" style="2" bestFit="1" customWidth="1"/>
    <col min="4" max="16384" width="9" style="2"/>
  </cols>
  <sheetData>
    <row r="1" spans="1:3" s="16" customFormat="1" x14ac:dyDescent="0.3">
      <c r="A1" s="16" t="s">
        <v>380</v>
      </c>
      <c r="B1" s="16" t="s">
        <v>381</v>
      </c>
      <c r="C1" s="16" t="s">
        <v>346</v>
      </c>
    </row>
    <row r="2" spans="1:3" x14ac:dyDescent="0.3">
      <c r="A2" s="2">
        <v>1011</v>
      </c>
      <c r="B2" s="2" t="s">
        <v>58</v>
      </c>
      <c r="C2" s="2" t="s">
        <v>347</v>
      </c>
    </row>
    <row r="3" spans="1:3" x14ac:dyDescent="0.3">
      <c r="A3" s="2">
        <v>1012</v>
      </c>
      <c r="B3" s="2" t="s">
        <v>6</v>
      </c>
      <c r="C3" s="2" t="s">
        <v>348</v>
      </c>
    </row>
    <row r="4" spans="1:3" x14ac:dyDescent="0.3">
      <c r="A4" s="2">
        <v>1021</v>
      </c>
      <c r="B4" s="2" t="s">
        <v>59</v>
      </c>
      <c r="C4" s="2" t="s">
        <v>349</v>
      </c>
    </row>
    <row r="5" spans="1:3" x14ac:dyDescent="0.3">
      <c r="A5" s="2">
        <v>1022</v>
      </c>
      <c r="B5" s="2" t="s">
        <v>2</v>
      </c>
      <c r="C5" s="2" t="s">
        <v>350</v>
      </c>
    </row>
    <row r="6" spans="1:3" x14ac:dyDescent="0.3">
      <c r="A6" s="2">
        <v>2011</v>
      </c>
      <c r="B6" s="2" t="s">
        <v>60</v>
      </c>
      <c r="C6" s="2" t="s">
        <v>351</v>
      </c>
    </row>
    <row r="7" spans="1:3" x14ac:dyDescent="0.3">
      <c r="A7" s="2">
        <v>2012</v>
      </c>
      <c r="B7" s="2" t="s">
        <v>3</v>
      </c>
      <c r="C7" s="2" t="s">
        <v>352</v>
      </c>
    </row>
    <row r="8" spans="1:3" x14ac:dyDescent="0.3">
      <c r="A8" s="2">
        <v>2021</v>
      </c>
      <c r="B8" s="2" t="s">
        <v>61</v>
      </c>
      <c r="C8" s="2" t="s">
        <v>354</v>
      </c>
    </row>
    <row r="9" spans="1:3" x14ac:dyDescent="0.3">
      <c r="A9" s="2">
        <v>2022</v>
      </c>
      <c r="B9" s="2" t="s">
        <v>7</v>
      </c>
      <c r="C9" s="2" t="s">
        <v>353</v>
      </c>
    </row>
    <row r="10" spans="1:3" x14ac:dyDescent="0.3">
      <c r="A10" s="2">
        <v>3011</v>
      </c>
      <c r="B10" s="2" t="s">
        <v>62</v>
      </c>
      <c r="C10" s="2" t="s">
        <v>356</v>
      </c>
    </row>
    <row r="11" spans="1:3" x14ac:dyDescent="0.3">
      <c r="A11" s="2">
        <v>3012</v>
      </c>
      <c r="B11" s="2" t="s">
        <v>4</v>
      </c>
      <c r="C11" s="2" t="s">
        <v>355</v>
      </c>
    </row>
    <row r="12" spans="1:3" x14ac:dyDescent="0.3">
      <c r="A12" s="2">
        <v>3021</v>
      </c>
      <c r="B12" s="2" t="s">
        <v>63</v>
      </c>
      <c r="C12" s="2" t="s">
        <v>358</v>
      </c>
    </row>
    <row r="13" spans="1:3" x14ac:dyDescent="0.3">
      <c r="A13" s="2">
        <v>3022</v>
      </c>
      <c r="B13" s="2" t="s">
        <v>8</v>
      </c>
      <c r="C13" s="2" t="s">
        <v>357</v>
      </c>
    </row>
    <row r="14" spans="1:3" x14ac:dyDescent="0.3">
      <c r="A14" s="2">
        <v>4011</v>
      </c>
      <c r="B14" s="2" t="s">
        <v>11</v>
      </c>
      <c r="C14" s="2" t="s">
        <v>359</v>
      </c>
    </row>
    <row r="15" spans="1:3" x14ac:dyDescent="0.3">
      <c r="A15" s="2">
        <v>4012</v>
      </c>
      <c r="B15" s="2" t="s">
        <v>5</v>
      </c>
      <c r="C15" s="2" t="s">
        <v>360</v>
      </c>
    </row>
    <row r="16" spans="1:3" x14ac:dyDescent="0.3">
      <c r="A16" s="2">
        <v>5001</v>
      </c>
      <c r="B16" s="2" t="s">
        <v>102</v>
      </c>
      <c r="C16" s="2" t="s">
        <v>361</v>
      </c>
    </row>
    <row r="17" spans="1:3" x14ac:dyDescent="0.3">
      <c r="A17" s="2">
        <v>5011</v>
      </c>
      <c r="B17" s="2" t="s">
        <v>327</v>
      </c>
      <c r="C17" s="2" t="s">
        <v>362</v>
      </c>
    </row>
    <row r="18" spans="1:3" x14ac:dyDescent="0.3">
      <c r="A18" s="2">
        <v>5021</v>
      </c>
      <c r="B18" s="2" t="s">
        <v>328</v>
      </c>
      <c r="C18" s="2" t="s">
        <v>363</v>
      </c>
    </row>
    <row r="19" spans="1:3" x14ac:dyDescent="0.3">
      <c r="A19" s="2">
        <v>6021</v>
      </c>
      <c r="B19" s="2" t="s">
        <v>43</v>
      </c>
      <c r="C19" s="2" t="s">
        <v>43</v>
      </c>
    </row>
    <row r="20" spans="1:3" x14ac:dyDescent="0.3">
      <c r="A20" s="2">
        <v>6031</v>
      </c>
      <c r="B20" s="2" t="s">
        <v>106</v>
      </c>
      <c r="C20" s="2" t="s">
        <v>365</v>
      </c>
    </row>
    <row r="21" spans="1:3" x14ac:dyDescent="0.3">
      <c r="A21" s="2">
        <v>6032</v>
      </c>
      <c r="B21" s="2" t="s">
        <v>110</v>
      </c>
      <c r="C21" s="2" t="s">
        <v>364</v>
      </c>
    </row>
    <row r="22" spans="1:3" x14ac:dyDescent="0.3">
      <c r="A22" s="2">
        <v>7011</v>
      </c>
      <c r="B22" s="2" t="s">
        <v>104</v>
      </c>
      <c r="C22" s="2" t="s">
        <v>366</v>
      </c>
    </row>
    <row r="23" spans="1:3" x14ac:dyDescent="0.3">
      <c r="A23" s="2">
        <v>8011</v>
      </c>
      <c r="B23" s="2" t="s">
        <v>50</v>
      </c>
      <c r="C23" s="2" t="s">
        <v>367</v>
      </c>
    </row>
    <row r="24" spans="1:3" x14ac:dyDescent="0.3">
      <c r="A24" s="2">
        <v>8012</v>
      </c>
      <c r="B24" s="2" t="s">
        <v>54</v>
      </c>
      <c r="C24" s="2" t="s">
        <v>368</v>
      </c>
    </row>
    <row r="25" spans="1:3" x14ac:dyDescent="0.3">
      <c r="A25" s="2">
        <v>8021</v>
      </c>
      <c r="B25" s="2" t="s">
        <v>51</v>
      </c>
      <c r="C25" s="2" t="s">
        <v>369</v>
      </c>
    </row>
    <row r="26" spans="1:3" x14ac:dyDescent="0.3">
      <c r="A26" s="2">
        <v>8022</v>
      </c>
      <c r="B26" s="2" t="s">
        <v>55</v>
      </c>
      <c r="C26" s="2" t="s">
        <v>370</v>
      </c>
    </row>
    <row r="27" spans="1:3" x14ac:dyDescent="0.3">
      <c r="A27" s="2">
        <v>8031</v>
      </c>
      <c r="B27" s="2" t="s">
        <v>52</v>
      </c>
      <c r="C27" s="2" t="s">
        <v>371</v>
      </c>
    </row>
    <row r="28" spans="1:3" x14ac:dyDescent="0.3">
      <c r="A28" s="2">
        <v>8032</v>
      </c>
      <c r="B28" s="2" t="s">
        <v>56</v>
      </c>
      <c r="C28" s="2" t="s">
        <v>372</v>
      </c>
    </row>
    <row r="29" spans="1:3" x14ac:dyDescent="0.3">
      <c r="A29" s="2">
        <v>8041</v>
      </c>
      <c r="B29" s="2" t="s">
        <v>53</v>
      </c>
      <c r="C29" s="2" t="s">
        <v>373</v>
      </c>
    </row>
    <row r="30" spans="1:3" x14ac:dyDescent="0.3">
      <c r="A30" s="2">
        <v>8042</v>
      </c>
      <c r="B30" s="2" t="s">
        <v>57</v>
      </c>
      <c r="C30" s="2" t="s">
        <v>374</v>
      </c>
    </row>
    <row r="31" spans="1:3" x14ac:dyDescent="0.3">
      <c r="A31" s="2">
        <v>9001</v>
      </c>
      <c r="B31" s="2" t="s">
        <v>330</v>
      </c>
      <c r="C31" s="2" t="s">
        <v>375</v>
      </c>
    </row>
    <row r="32" spans="1:3" x14ac:dyDescent="0.3">
      <c r="A32" s="2">
        <v>9011</v>
      </c>
      <c r="B32" s="2" t="s">
        <v>44</v>
      </c>
      <c r="C32" s="2" t="s">
        <v>152</v>
      </c>
    </row>
    <row r="33" spans="1:3" x14ac:dyDescent="0.3">
      <c r="A33" s="2">
        <v>9021</v>
      </c>
      <c r="B33" s="2" t="s">
        <v>46</v>
      </c>
      <c r="C33" s="2" t="s">
        <v>376</v>
      </c>
    </row>
  </sheetData>
  <phoneticPr fontId="18" type="noConversion"/>
  <conditionalFormatting sqref="A1:A1048576">
    <cfRule type="expression" dxfId="8" priority="1">
      <formula>AND($A1 &gt;= 6000, $A1 &lt; 7000)</formula>
    </cfRule>
    <cfRule type="expression" dxfId="7" priority="2">
      <formula>AND($A1 &gt;= 7000, $A1 &lt; 8000)</formula>
    </cfRule>
    <cfRule type="expression" dxfId="6" priority="3">
      <formula>AND($A1 &gt;= 5000, $A1 &lt; 6000)</formula>
    </cfRule>
    <cfRule type="expression" dxfId="5" priority="4">
      <formula>AND($A1 &gt;= 9000, $A1 &lt; 10000)</formula>
    </cfRule>
    <cfRule type="expression" dxfId="4" priority="5">
      <formula>AND($A1 &gt;=8000, $A1 &lt; 9000)</formula>
    </cfRule>
    <cfRule type="expression" dxfId="3" priority="6">
      <formula>AND($A1 &gt;= 4000, $A1 &lt; 5000)</formula>
    </cfRule>
    <cfRule type="expression" dxfId="2" priority="7">
      <formula>AND($A1 &gt;= 3000, $A1 &lt; 4000)</formula>
    </cfRule>
    <cfRule type="expression" dxfId="1" priority="8">
      <formula>AND($A1 &gt;= 2000, $A1 &lt; 3000)</formula>
    </cfRule>
    <cfRule type="expression" dxfId="0" priority="9">
      <formula>AND($A1 &gt;= 1000, $A1 &lt; 2000)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5829-0AFB-4F47-8C6E-31EBDF1B0551}">
  <sheetPr codeName="Sheet10"/>
  <dimension ref="A1:F6"/>
  <sheetViews>
    <sheetView workbookViewId="0">
      <selection activeCell="K20" sqref="K20"/>
    </sheetView>
  </sheetViews>
  <sheetFormatPr defaultRowHeight="16.5" x14ac:dyDescent="0.3"/>
  <cols>
    <col min="1" max="1" width="9" style="2"/>
    <col min="2" max="2" width="10.375" style="2" bestFit="1" customWidth="1"/>
    <col min="3" max="5" width="9" style="2" bestFit="1" customWidth="1"/>
    <col min="6" max="6" width="20.625" style="2" bestFit="1" customWidth="1"/>
    <col min="7" max="16384" width="9" style="2"/>
  </cols>
  <sheetData>
    <row r="1" spans="1:6" x14ac:dyDescent="0.3">
      <c r="A1" s="20" t="s">
        <v>337</v>
      </c>
      <c r="B1" s="21"/>
      <c r="C1" s="21"/>
      <c r="D1" s="21"/>
      <c r="E1" s="21"/>
      <c r="F1" s="21"/>
    </row>
    <row r="2" spans="1:6" x14ac:dyDescent="0.3">
      <c r="A2" s="21"/>
      <c r="B2" s="21"/>
      <c r="C2" s="21"/>
      <c r="D2" s="21"/>
      <c r="E2" s="21"/>
      <c r="F2" s="21"/>
    </row>
    <row r="3" spans="1:6" x14ac:dyDescent="0.3">
      <c r="A3" s="10" t="s">
        <v>334</v>
      </c>
      <c r="B3" s="10" t="s">
        <v>336</v>
      </c>
      <c r="C3" s="10" t="s">
        <v>335</v>
      </c>
      <c r="D3" s="10" t="s">
        <v>331</v>
      </c>
      <c r="E3" s="10" t="s">
        <v>332</v>
      </c>
      <c r="F3" s="10" t="s">
        <v>333</v>
      </c>
    </row>
    <row r="4" spans="1:6" x14ac:dyDescent="0.3">
      <c r="A4" s="2">
        <v>4012</v>
      </c>
      <c r="B4" s="2" t="str">
        <f>VLOOKUP(A4, ItemDataTable!A:B, 2, FALSE)</f>
        <v>Milk</v>
      </c>
      <c r="C4" s="2">
        <f>VLOOKUP(A4-1, ItemDataTable!A:D, 4, FALSE)</f>
        <v>5000</v>
      </c>
      <c r="D4" s="2">
        <f>VLOOKUP(A4, ProductDataTable!A:E,5, FALSE)</f>
        <v>-1</v>
      </c>
      <c r="E4" s="2">
        <f>VLOOKUP(A4, ProductDataTable!A:E,4, FALSE)</f>
        <v>0.2</v>
      </c>
      <c r="F4" s="11">
        <f>D4*(1-(E4*2))</f>
        <v>-0.6</v>
      </c>
    </row>
    <row r="6" spans="1:6" x14ac:dyDescent="0.3">
      <c r="C6" s="2">
        <f>1000/100*90</f>
        <v>900</v>
      </c>
      <c r="D6" s="2">
        <v>1000</v>
      </c>
      <c r="E6" s="2">
        <v>0.06</v>
      </c>
      <c r="F6" s="12">
        <f>D6*(1-(E6*2))</f>
        <v>880</v>
      </c>
    </row>
  </sheetData>
  <mergeCells count="1">
    <mergeCell ref="A1:F2"/>
  </mergeCells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165D-F660-4A4C-B4E3-D89CE2499B38}">
  <sheetPr codeName="Sheet11"/>
  <dimension ref="A1:F110"/>
  <sheetViews>
    <sheetView zoomScaleNormal="100" workbookViewId="0">
      <selection activeCell="A55" sqref="A55:A110"/>
    </sheetView>
  </sheetViews>
  <sheetFormatPr defaultRowHeight="16.5" x14ac:dyDescent="0.3"/>
  <cols>
    <col min="1" max="1" width="9" style="2"/>
    <col min="2" max="2" width="25.75" style="2" bestFit="1" customWidth="1"/>
    <col min="3" max="3" width="8.25" style="2" bestFit="1" customWidth="1"/>
    <col min="4" max="4" width="122.75" style="2" bestFit="1" customWidth="1"/>
    <col min="5" max="5" width="22.75" style="2" bestFit="1" customWidth="1"/>
    <col min="6" max="6" width="74.5" style="2" bestFit="1" customWidth="1"/>
    <col min="7" max="16384" width="9" style="2"/>
  </cols>
  <sheetData>
    <row r="1" spans="1:6" s="1" customFormat="1" ht="17.25" thickBot="1" x14ac:dyDescent="0.25">
      <c r="A1" s="6" t="s">
        <v>163</v>
      </c>
      <c r="B1" s="6" t="s">
        <v>164</v>
      </c>
      <c r="C1" s="6" t="s">
        <v>165</v>
      </c>
      <c r="D1" s="6" t="s">
        <v>166</v>
      </c>
      <c r="E1" s="6" t="s">
        <v>121</v>
      </c>
      <c r="F1" s="6" t="s">
        <v>167</v>
      </c>
    </row>
    <row r="2" spans="1:6" ht="17.25" thickBot="1" x14ac:dyDescent="0.25">
      <c r="A2" s="7">
        <v>100001</v>
      </c>
      <c r="B2" s="7" t="s">
        <v>168</v>
      </c>
      <c r="C2" s="7" t="s">
        <v>169</v>
      </c>
      <c r="D2" s="7" t="s">
        <v>170</v>
      </c>
      <c r="E2" s="8"/>
      <c r="F2" s="8"/>
    </row>
    <row r="3" spans="1:6" ht="17.25" thickBot="1" x14ac:dyDescent="0.25">
      <c r="A3" s="7">
        <v>100002</v>
      </c>
      <c r="B3" s="7" t="s">
        <v>168</v>
      </c>
      <c r="C3" s="7" t="s">
        <v>169</v>
      </c>
      <c r="D3" s="7" t="s">
        <v>171</v>
      </c>
      <c r="E3" s="8"/>
      <c r="F3" s="8"/>
    </row>
    <row r="4" spans="1:6" ht="17.25" thickBot="1" x14ac:dyDescent="0.35">
      <c r="A4" s="7">
        <v>100003</v>
      </c>
      <c r="B4" s="7" t="s">
        <v>168</v>
      </c>
      <c r="C4" s="7" t="s">
        <v>169</v>
      </c>
      <c r="D4" s="13" t="s">
        <v>344</v>
      </c>
      <c r="E4" s="8"/>
      <c r="F4" s="8"/>
    </row>
    <row r="5" spans="1:6" ht="17.25" thickBot="1" x14ac:dyDescent="0.35">
      <c r="A5" s="7">
        <v>110001</v>
      </c>
      <c r="B5" s="7" t="s">
        <v>172</v>
      </c>
      <c r="C5" s="7" t="s">
        <v>169</v>
      </c>
      <c r="D5" s="13" t="s">
        <v>345</v>
      </c>
      <c r="E5" s="8"/>
      <c r="F5" s="8"/>
    </row>
    <row r="6" spans="1:6" ht="17.25" thickBot="1" x14ac:dyDescent="0.25">
      <c r="A6" s="7">
        <v>110002</v>
      </c>
      <c r="B6" s="7" t="s">
        <v>172</v>
      </c>
      <c r="C6" s="7" t="s">
        <v>169</v>
      </c>
      <c r="D6" s="7" t="s">
        <v>173</v>
      </c>
      <c r="E6" s="8"/>
      <c r="F6" s="7" t="s">
        <v>174</v>
      </c>
    </row>
    <row r="7" spans="1:6" ht="17.25" thickBot="1" x14ac:dyDescent="0.25">
      <c r="A7" s="7">
        <v>110003</v>
      </c>
      <c r="B7" s="7" t="s">
        <v>172</v>
      </c>
      <c r="C7" s="7" t="s">
        <v>169</v>
      </c>
      <c r="D7" s="7" t="s">
        <v>175</v>
      </c>
      <c r="E7" s="8"/>
      <c r="F7" s="8"/>
    </row>
    <row r="8" spans="1:6" ht="17.25" thickBot="1" x14ac:dyDescent="0.25">
      <c r="A8" s="7">
        <v>110004</v>
      </c>
      <c r="B8" s="7" t="s">
        <v>172</v>
      </c>
      <c r="C8" s="7" t="s">
        <v>169</v>
      </c>
      <c r="D8" s="7" t="s">
        <v>176</v>
      </c>
      <c r="E8" s="8"/>
      <c r="F8" s="8"/>
    </row>
    <row r="9" spans="1:6" ht="17.25" thickBot="1" x14ac:dyDescent="0.25">
      <c r="A9" s="7">
        <v>110005</v>
      </c>
      <c r="B9" s="7" t="s">
        <v>172</v>
      </c>
      <c r="C9" s="7" t="s">
        <v>169</v>
      </c>
      <c r="D9" s="7" t="s">
        <v>177</v>
      </c>
      <c r="E9" s="8"/>
      <c r="F9" s="8"/>
    </row>
    <row r="10" spans="1:6" ht="17.25" thickBot="1" x14ac:dyDescent="0.25">
      <c r="A10" s="7">
        <v>110006</v>
      </c>
      <c r="B10" s="7" t="s">
        <v>172</v>
      </c>
      <c r="C10" s="7" t="s">
        <v>169</v>
      </c>
      <c r="D10" s="7" t="s">
        <v>178</v>
      </c>
      <c r="E10" s="8"/>
      <c r="F10" s="8"/>
    </row>
    <row r="11" spans="1:6" ht="17.25" thickBot="1" x14ac:dyDescent="0.25">
      <c r="A11" s="7">
        <v>110007</v>
      </c>
      <c r="B11" s="7" t="s">
        <v>172</v>
      </c>
      <c r="C11" s="7" t="s">
        <v>169</v>
      </c>
      <c r="D11" s="7" t="s">
        <v>179</v>
      </c>
      <c r="E11" s="8"/>
      <c r="F11" s="8"/>
    </row>
    <row r="12" spans="1:6" ht="17.25" thickBot="1" x14ac:dyDescent="0.25">
      <c r="A12" s="7">
        <v>110008</v>
      </c>
      <c r="B12" s="7" t="s">
        <v>180</v>
      </c>
      <c r="C12" s="7" t="s">
        <v>169</v>
      </c>
      <c r="D12" s="7" t="s">
        <v>181</v>
      </c>
      <c r="E12" s="8"/>
      <c r="F12" s="7" t="s">
        <v>182</v>
      </c>
    </row>
    <row r="13" spans="1:6" ht="17.25" thickBot="1" x14ac:dyDescent="0.25">
      <c r="A13" s="7">
        <v>110009</v>
      </c>
      <c r="B13" s="7" t="s">
        <v>180</v>
      </c>
      <c r="C13" s="7" t="s">
        <v>169</v>
      </c>
      <c r="D13" s="7" t="s">
        <v>183</v>
      </c>
      <c r="E13" s="8"/>
      <c r="F13" s="8"/>
    </row>
    <row r="14" spans="1:6" ht="17.25" thickBot="1" x14ac:dyDescent="0.25">
      <c r="A14" s="7">
        <v>110010</v>
      </c>
      <c r="B14" s="7" t="s">
        <v>180</v>
      </c>
      <c r="C14" s="7" t="s">
        <v>169</v>
      </c>
      <c r="D14" s="7" t="s">
        <v>184</v>
      </c>
      <c r="E14" s="8"/>
      <c r="F14" s="8"/>
    </row>
    <row r="15" spans="1:6" ht="17.25" thickBot="1" x14ac:dyDescent="0.25">
      <c r="A15" s="7">
        <v>110011</v>
      </c>
      <c r="B15" s="7" t="s">
        <v>180</v>
      </c>
      <c r="C15" s="7" t="s">
        <v>169</v>
      </c>
      <c r="D15" s="7" t="s">
        <v>185</v>
      </c>
      <c r="E15" s="8"/>
      <c r="F15" s="7" t="s">
        <v>186</v>
      </c>
    </row>
    <row r="16" spans="1:6" ht="17.25" thickBot="1" x14ac:dyDescent="0.25">
      <c r="A16" s="7">
        <v>110012</v>
      </c>
      <c r="B16" s="7" t="s">
        <v>180</v>
      </c>
      <c r="C16" s="7" t="s">
        <v>169</v>
      </c>
      <c r="D16" s="7" t="s">
        <v>187</v>
      </c>
      <c r="E16" s="8"/>
      <c r="F16" s="8"/>
    </row>
    <row r="17" spans="1:6" ht="17.25" thickBot="1" x14ac:dyDescent="0.25">
      <c r="A17" s="7">
        <v>110013</v>
      </c>
      <c r="B17" s="7" t="s">
        <v>180</v>
      </c>
      <c r="C17" s="7" t="s">
        <v>169</v>
      </c>
      <c r="D17" s="7" t="s">
        <v>188</v>
      </c>
      <c r="E17" s="8"/>
      <c r="F17" s="8"/>
    </row>
    <row r="18" spans="1:6" ht="17.25" thickBot="1" x14ac:dyDescent="0.25">
      <c r="A18" s="7">
        <v>110014</v>
      </c>
      <c r="B18" s="7" t="s">
        <v>180</v>
      </c>
      <c r="C18" s="7" t="s">
        <v>169</v>
      </c>
      <c r="D18" s="7" t="s">
        <v>189</v>
      </c>
      <c r="E18" s="8"/>
      <c r="F18" s="8"/>
    </row>
    <row r="19" spans="1:6" ht="17.25" thickBot="1" x14ac:dyDescent="0.25">
      <c r="A19" s="7">
        <v>110015</v>
      </c>
      <c r="B19" s="7" t="s">
        <v>180</v>
      </c>
      <c r="C19" s="7" t="s">
        <v>169</v>
      </c>
      <c r="D19" s="7" t="s">
        <v>190</v>
      </c>
      <c r="E19" s="8"/>
      <c r="F19" s="7" t="s">
        <v>191</v>
      </c>
    </row>
    <row r="20" spans="1:6" ht="17.25" thickBot="1" x14ac:dyDescent="0.25">
      <c r="A20" s="7">
        <v>110016</v>
      </c>
      <c r="B20" s="7" t="s">
        <v>180</v>
      </c>
      <c r="C20" s="7" t="s">
        <v>169</v>
      </c>
      <c r="D20" s="7" t="s">
        <v>192</v>
      </c>
      <c r="E20" s="8"/>
      <c r="F20" s="7" t="s">
        <v>193</v>
      </c>
    </row>
    <row r="21" spans="1:6" ht="17.25" thickBot="1" x14ac:dyDescent="0.25">
      <c r="A21" s="7">
        <v>110017</v>
      </c>
      <c r="B21" s="7" t="s">
        <v>194</v>
      </c>
      <c r="C21" s="7" t="s">
        <v>169</v>
      </c>
      <c r="D21" s="7" t="s">
        <v>195</v>
      </c>
      <c r="E21" s="8"/>
      <c r="F21" s="7" t="s">
        <v>196</v>
      </c>
    </row>
    <row r="22" spans="1:6" ht="17.25" thickBot="1" x14ac:dyDescent="0.25">
      <c r="A22" s="7">
        <v>110018</v>
      </c>
      <c r="B22" s="7" t="s">
        <v>194</v>
      </c>
      <c r="C22" s="7" t="s">
        <v>169</v>
      </c>
      <c r="D22" s="7" t="s">
        <v>197</v>
      </c>
      <c r="E22" s="8"/>
      <c r="F22" s="8"/>
    </row>
    <row r="23" spans="1:6" ht="17.25" thickBot="1" x14ac:dyDescent="0.25">
      <c r="A23" s="7">
        <v>110019</v>
      </c>
      <c r="B23" s="7" t="s">
        <v>194</v>
      </c>
      <c r="C23" s="7" t="s">
        <v>169</v>
      </c>
      <c r="D23" s="7" t="s">
        <v>198</v>
      </c>
      <c r="E23" s="8"/>
      <c r="F23" s="8"/>
    </row>
    <row r="24" spans="1:6" ht="17.25" thickBot="1" x14ac:dyDescent="0.25">
      <c r="A24" s="7">
        <v>110020</v>
      </c>
      <c r="B24" s="7" t="s">
        <v>194</v>
      </c>
      <c r="C24" s="7" t="s">
        <v>169</v>
      </c>
      <c r="D24" s="7" t="s">
        <v>199</v>
      </c>
      <c r="E24" s="8"/>
      <c r="F24" s="7" t="s">
        <v>200</v>
      </c>
    </row>
    <row r="25" spans="1:6" ht="17.25" thickBot="1" x14ac:dyDescent="0.25">
      <c r="A25" s="7">
        <v>110021</v>
      </c>
      <c r="B25" s="7" t="s">
        <v>194</v>
      </c>
      <c r="C25" s="7" t="s">
        <v>169</v>
      </c>
      <c r="D25" s="7" t="s">
        <v>201</v>
      </c>
      <c r="E25" s="8"/>
      <c r="F25" s="8"/>
    </row>
    <row r="26" spans="1:6" ht="17.25" thickBot="1" x14ac:dyDescent="0.25">
      <c r="A26" s="7">
        <v>110022</v>
      </c>
      <c r="B26" s="7" t="s">
        <v>194</v>
      </c>
      <c r="C26" s="7" t="s">
        <v>169</v>
      </c>
      <c r="D26" s="7" t="s">
        <v>202</v>
      </c>
      <c r="E26" s="8"/>
      <c r="F26" s="8"/>
    </row>
    <row r="27" spans="1:6" ht="17.25" thickBot="1" x14ac:dyDescent="0.25">
      <c r="A27" s="7">
        <v>110023</v>
      </c>
      <c r="B27" s="7" t="s">
        <v>194</v>
      </c>
      <c r="C27" s="7" t="s">
        <v>169</v>
      </c>
      <c r="D27" s="7" t="s">
        <v>203</v>
      </c>
      <c r="E27" s="8"/>
      <c r="F27" s="7" t="s">
        <v>204</v>
      </c>
    </row>
    <row r="28" spans="1:6" ht="17.25" thickBot="1" x14ac:dyDescent="0.25">
      <c r="A28" s="7">
        <v>110024</v>
      </c>
      <c r="B28" s="7" t="s">
        <v>194</v>
      </c>
      <c r="C28" s="7" t="s">
        <v>169</v>
      </c>
      <c r="D28" s="7" t="s">
        <v>205</v>
      </c>
      <c r="E28" s="8"/>
      <c r="F28" s="7" t="s">
        <v>206</v>
      </c>
    </row>
    <row r="29" spans="1:6" ht="17.25" thickBot="1" x14ac:dyDescent="0.25">
      <c r="A29" s="7">
        <v>110025</v>
      </c>
      <c r="B29" s="7" t="s">
        <v>194</v>
      </c>
      <c r="C29" s="7" t="s">
        <v>169</v>
      </c>
      <c r="D29" s="7" t="s">
        <v>207</v>
      </c>
      <c r="E29" s="8"/>
      <c r="F29" s="8"/>
    </row>
    <row r="30" spans="1:6" ht="17.25" thickBot="1" x14ac:dyDescent="0.25">
      <c r="A30" s="7">
        <v>110026</v>
      </c>
      <c r="B30" s="7" t="s">
        <v>194</v>
      </c>
      <c r="C30" s="7" t="s">
        <v>169</v>
      </c>
      <c r="D30" s="7" t="s">
        <v>208</v>
      </c>
      <c r="E30" s="8"/>
      <c r="F30" s="8"/>
    </row>
    <row r="31" spans="1:6" ht="17.25" thickBot="1" x14ac:dyDescent="0.25">
      <c r="A31" s="7">
        <v>110027</v>
      </c>
      <c r="B31" s="7" t="s">
        <v>194</v>
      </c>
      <c r="C31" s="7" t="s">
        <v>169</v>
      </c>
      <c r="D31" s="7" t="s">
        <v>209</v>
      </c>
      <c r="E31" s="8"/>
      <c r="F31" s="8"/>
    </row>
    <row r="32" spans="1:6" ht="17.25" thickBot="1" x14ac:dyDescent="0.25">
      <c r="A32" s="7">
        <v>110028</v>
      </c>
      <c r="B32" s="7" t="s">
        <v>194</v>
      </c>
      <c r="C32" s="7" t="s">
        <v>169</v>
      </c>
      <c r="D32" s="7" t="s">
        <v>210</v>
      </c>
      <c r="E32" s="8"/>
      <c r="F32" s="7" t="s">
        <v>211</v>
      </c>
    </row>
    <row r="33" spans="1:6" ht="17.25" thickBot="1" x14ac:dyDescent="0.25">
      <c r="A33" s="7">
        <v>110029</v>
      </c>
      <c r="B33" s="7" t="s">
        <v>212</v>
      </c>
      <c r="C33" s="7" t="s">
        <v>169</v>
      </c>
      <c r="D33" s="7" t="s">
        <v>213</v>
      </c>
      <c r="E33" s="8"/>
      <c r="F33" s="7" t="s">
        <v>214</v>
      </c>
    </row>
    <row r="34" spans="1:6" ht="17.25" thickBot="1" x14ac:dyDescent="0.25">
      <c r="A34" s="7">
        <v>110030</v>
      </c>
      <c r="B34" s="7" t="s">
        <v>212</v>
      </c>
      <c r="C34" s="7" t="s">
        <v>169</v>
      </c>
      <c r="D34" s="7" t="s">
        <v>215</v>
      </c>
      <c r="E34" s="8"/>
      <c r="F34" s="7" t="s">
        <v>216</v>
      </c>
    </row>
    <row r="35" spans="1:6" ht="17.25" thickBot="1" x14ac:dyDescent="0.25">
      <c r="A35" s="7">
        <v>110031</v>
      </c>
      <c r="B35" s="7" t="s">
        <v>212</v>
      </c>
      <c r="C35" s="7" t="s">
        <v>169</v>
      </c>
      <c r="D35" s="7" t="s">
        <v>217</v>
      </c>
      <c r="E35" s="8"/>
      <c r="F35" s="7" t="s">
        <v>218</v>
      </c>
    </row>
    <row r="36" spans="1:6" ht="17.25" thickBot="1" x14ac:dyDescent="0.25">
      <c r="A36" s="7">
        <v>110032</v>
      </c>
      <c r="B36" s="7" t="s">
        <v>212</v>
      </c>
      <c r="C36" s="7" t="s">
        <v>169</v>
      </c>
      <c r="D36" s="7" t="s">
        <v>219</v>
      </c>
      <c r="E36" s="8"/>
      <c r="F36" s="7" t="s">
        <v>220</v>
      </c>
    </row>
    <row r="37" spans="1:6" ht="17.25" thickBot="1" x14ac:dyDescent="0.35">
      <c r="A37" s="7">
        <v>110033</v>
      </c>
      <c r="B37" s="7" t="s">
        <v>212</v>
      </c>
      <c r="C37" s="14" t="s">
        <v>339</v>
      </c>
      <c r="D37" s="13" t="s">
        <v>340</v>
      </c>
      <c r="E37" s="8"/>
      <c r="F37" s="7"/>
    </row>
    <row r="38" spans="1:6" ht="17.25" thickBot="1" x14ac:dyDescent="0.35">
      <c r="A38" s="7">
        <v>110034</v>
      </c>
      <c r="B38" s="7" t="s">
        <v>212</v>
      </c>
      <c r="C38" s="7" t="s">
        <v>169</v>
      </c>
      <c r="D38" s="14" t="s">
        <v>341</v>
      </c>
      <c r="E38" s="13"/>
      <c r="F38" s="8"/>
    </row>
    <row r="39" spans="1:6" ht="17.25" thickBot="1" x14ac:dyDescent="0.35">
      <c r="A39" s="7">
        <v>110035</v>
      </c>
      <c r="B39" s="7" t="s">
        <v>212</v>
      </c>
      <c r="C39" s="7" t="s">
        <v>169</v>
      </c>
      <c r="D39" s="15" t="s">
        <v>342</v>
      </c>
      <c r="E39" s="8"/>
      <c r="F39" s="8"/>
    </row>
    <row r="40" spans="1:6" ht="17.25" thickBot="1" x14ac:dyDescent="0.35">
      <c r="A40" s="7">
        <v>110036</v>
      </c>
      <c r="B40" s="7" t="s">
        <v>212</v>
      </c>
      <c r="C40" s="7" t="s">
        <v>169</v>
      </c>
      <c r="D40" s="13" t="s">
        <v>343</v>
      </c>
      <c r="E40" s="8"/>
      <c r="F40" s="8"/>
    </row>
    <row r="41" spans="1:6" ht="17.25" thickBot="1" x14ac:dyDescent="0.25">
      <c r="A41" s="7">
        <v>110037</v>
      </c>
      <c r="B41" s="7" t="s">
        <v>212</v>
      </c>
      <c r="C41" s="7" t="s">
        <v>169</v>
      </c>
      <c r="D41" s="7" t="s">
        <v>221</v>
      </c>
      <c r="E41" s="8"/>
      <c r="F41" s="8"/>
    </row>
    <row r="42" spans="1:6" ht="17.25" thickBot="1" x14ac:dyDescent="0.25">
      <c r="A42" s="7">
        <v>110038</v>
      </c>
      <c r="B42" s="7" t="s">
        <v>222</v>
      </c>
      <c r="C42" s="7" t="s">
        <v>169</v>
      </c>
      <c r="D42" s="7" t="s">
        <v>223</v>
      </c>
      <c r="E42" s="8"/>
      <c r="F42" s="7" t="s">
        <v>224</v>
      </c>
    </row>
    <row r="43" spans="1:6" ht="17.25" thickBot="1" x14ac:dyDescent="0.25">
      <c r="A43" s="7">
        <v>110039</v>
      </c>
      <c r="B43" s="7" t="s">
        <v>222</v>
      </c>
      <c r="C43" s="7" t="s">
        <v>169</v>
      </c>
      <c r="D43" s="7" t="s">
        <v>225</v>
      </c>
      <c r="E43" s="8"/>
      <c r="F43" s="7" t="s">
        <v>226</v>
      </c>
    </row>
    <row r="44" spans="1:6" ht="17.25" thickBot="1" x14ac:dyDescent="0.25">
      <c r="A44" s="7">
        <v>110040</v>
      </c>
      <c r="B44" s="7" t="s">
        <v>222</v>
      </c>
      <c r="C44" s="7" t="s">
        <v>169</v>
      </c>
      <c r="D44" s="7" t="s">
        <v>227</v>
      </c>
      <c r="E44" s="8"/>
      <c r="F44" s="8"/>
    </row>
    <row r="45" spans="1:6" ht="17.25" thickBot="1" x14ac:dyDescent="0.25">
      <c r="A45" s="7">
        <v>110041</v>
      </c>
      <c r="B45" s="7" t="s">
        <v>222</v>
      </c>
      <c r="C45" s="7" t="s">
        <v>169</v>
      </c>
      <c r="D45" s="7" t="s">
        <v>228</v>
      </c>
      <c r="E45" s="8"/>
      <c r="F45" s="7" t="s">
        <v>229</v>
      </c>
    </row>
    <row r="46" spans="1:6" ht="17.25" thickBot="1" x14ac:dyDescent="0.25">
      <c r="A46" s="7">
        <v>110042</v>
      </c>
      <c r="B46" s="7" t="s">
        <v>222</v>
      </c>
      <c r="C46" s="7" t="s">
        <v>169</v>
      </c>
      <c r="D46" s="7" t="s">
        <v>230</v>
      </c>
      <c r="E46" s="8"/>
      <c r="F46" s="8"/>
    </row>
    <row r="47" spans="1:6" ht="17.25" thickBot="1" x14ac:dyDescent="0.35">
      <c r="A47" s="7">
        <v>110043</v>
      </c>
      <c r="B47" s="7" t="s">
        <v>222</v>
      </c>
      <c r="C47" s="7" t="s">
        <v>169</v>
      </c>
      <c r="D47" s="13" t="s">
        <v>338</v>
      </c>
      <c r="E47" s="8"/>
      <c r="F47" s="7" t="s">
        <v>231</v>
      </c>
    </row>
    <row r="48" spans="1:6" ht="17.25" thickBot="1" x14ac:dyDescent="0.25">
      <c r="A48" s="7">
        <v>110044</v>
      </c>
      <c r="B48" s="7" t="s">
        <v>222</v>
      </c>
      <c r="C48" s="7" t="s">
        <v>169</v>
      </c>
      <c r="D48" s="7" t="s">
        <v>232</v>
      </c>
      <c r="E48" s="8"/>
      <c r="F48" s="7" t="s">
        <v>233</v>
      </c>
    </row>
    <row r="49" spans="1:6" ht="17.25" thickBot="1" x14ac:dyDescent="0.25">
      <c r="A49" s="7">
        <v>110045</v>
      </c>
      <c r="B49" s="7" t="s">
        <v>222</v>
      </c>
      <c r="C49" s="7" t="s">
        <v>169</v>
      </c>
      <c r="D49" s="7" t="s">
        <v>234</v>
      </c>
      <c r="E49" s="8"/>
      <c r="F49" s="7" t="s">
        <v>235</v>
      </c>
    </row>
    <row r="50" spans="1:6" ht="17.25" thickBot="1" x14ac:dyDescent="0.25">
      <c r="A50" s="7">
        <v>110046</v>
      </c>
      <c r="B50" s="7" t="s">
        <v>222</v>
      </c>
      <c r="C50" s="7" t="s">
        <v>169</v>
      </c>
      <c r="D50" s="7" t="s">
        <v>236</v>
      </c>
      <c r="E50" s="8"/>
      <c r="F50" s="8"/>
    </row>
    <row r="51" spans="1:6" ht="17.25" thickBot="1" x14ac:dyDescent="0.25">
      <c r="A51" s="7">
        <v>110047</v>
      </c>
      <c r="B51" s="7" t="s">
        <v>222</v>
      </c>
      <c r="C51" s="7" t="s">
        <v>169</v>
      </c>
      <c r="D51" s="7" t="s">
        <v>237</v>
      </c>
      <c r="E51" s="8"/>
      <c r="F51" s="7" t="s">
        <v>238</v>
      </c>
    </row>
    <row r="52" spans="1:6" ht="17.25" thickBot="1" x14ac:dyDescent="0.25">
      <c r="A52" s="7">
        <v>110048</v>
      </c>
      <c r="B52" s="7" t="s">
        <v>222</v>
      </c>
      <c r="C52" s="7" t="s">
        <v>169</v>
      </c>
      <c r="D52" s="7" t="s">
        <v>239</v>
      </c>
      <c r="E52" s="8"/>
      <c r="F52" s="8"/>
    </row>
    <row r="53" spans="1:6" ht="17.25" thickBot="1" x14ac:dyDescent="0.25">
      <c r="A53" s="7">
        <v>110049</v>
      </c>
      <c r="B53" s="7" t="s">
        <v>222</v>
      </c>
      <c r="C53" s="7" t="s">
        <v>169</v>
      </c>
      <c r="D53" s="7" t="s">
        <v>240</v>
      </c>
      <c r="E53" s="8"/>
      <c r="F53" s="7" t="s">
        <v>193</v>
      </c>
    </row>
    <row r="54" spans="1:6" ht="17.25" thickBot="1" x14ac:dyDescent="0.25">
      <c r="A54" s="7">
        <v>110050</v>
      </c>
      <c r="B54" s="7" t="s">
        <v>241</v>
      </c>
      <c r="C54" s="7" t="s">
        <v>169</v>
      </c>
      <c r="D54" s="7" t="s">
        <v>242</v>
      </c>
      <c r="E54" s="8"/>
      <c r="F54" s="7" t="s">
        <v>243</v>
      </c>
    </row>
    <row r="55" spans="1:6" ht="17.25" thickBot="1" x14ac:dyDescent="0.25">
      <c r="A55" s="7">
        <v>110051</v>
      </c>
      <c r="B55" s="7" t="s">
        <v>241</v>
      </c>
      <c r="C55" s="7" t="s">
        <v>169</v>
      </c>
      <c r="D55" s="7" t="s">
        <v>244</v>
      </c>
      <c r="E55" s="8"/>
      <c r="F55" s="8"/>
    </row>
    <row r="56" spans="1:6" ht="17.25" thickBot="1" x14ac:dyDescent="0.25">
      <c r="A56" s="7">
        <v>110052</v>
      </c>
      <c r="B56" s="7" t="s">
        <v>241</v>
      </c>
      <c r="C56" s="7" t="s">
        <v>169</v>
      </c>
      <c r="D56" s="7" t="s">
        <v>245</v>
      </c>
      <c r="E56" s="8"/>
      <c r="F56" s="7" t="s">
        <v>246</v>
      </c>
    </row>
    <row r="57" spans="1:6" ht="17.25" thickBot="1" x14ac:dyDescent="0.25">
      <c r="A57" s="7">
        <v>110053</v>
      </c>
      <c r="B57" s="7" t="s">
        <v>241</v>
      </c>
      <c r="C57" s="7" t="s">
        <v>169</v>
      </c>
      <c r="D57" s="7" t="s">
        <v>247</v>
      </c>
      <c r="E57" s="8"/>
      <c r="F57" s="8"/>
    </row>
    <row r="58" spans="1:6" ht="17.25" thickBot="1" x14ac:dyDescent="0.25">
      <c r="A58" s="7">
        <v>110054</v>
      </c>
      <c r="B58" s="7" t="s">
        <v>241</v>
      </c>
      <c r="C58" s="7" t="s">
        <v>169</v>
      </c>
      <c r="D58" s="7" t="s">
        <v>248</v>
      </c>
      <c r="E58" s="8"/>
      <c r="F58" s="8"/>
    </row>
    <row r="59" spans="1:6" ht="17.25" thickBot="1" x14ac:dyDescent="0.25">
      <c r="A59" s="7">
        <v>110055</v>
      </c>
      <c r="B59" s="7" t="s">
        <v>241</v>
      </c>
      <c r="C59" s="7" t="s">
        <v>169</v>
      </c>
      <c r="D59" s="7" t="s">
        <v>249</v>
      </c>
      <c r="E59" s="8"/>
      <c r="F59" s="8"/>
    </row>
    <row r="60" spans="1:6" ht="17.25" thickBot="1" x14ac:dyDescent="0.25">
      <c r="A60" s="7">
        <v>110056</v>
      </c>
      <c r="B60" s="7" t="s">
        <v>241</v>
      </c>
      <c r="C60" s="7" t="s">
        <v>169</v>
      </c>
      <c r="D60" s="7" t="s">
        <v>250</v>
      </c>
      <c r="E60" s="8"/>
      <c r="F60" s="8"/>
    </row>
    <row r="61" spans="1:6" ht="17.25" thickBot="1" x14ac:dyDescent="0.25">
      <c r="A61" s="7">
        <v>110057</v>
      </c>
      <c r="B61" s="7" t="s">
        <v>241</v>
      </c>
      <c r="C61" s="7" t="s">
        <v>169</v>
      </c>
      <c r="D61" s="7" t="s">
        <v>251</v>
      </c>
      <c r="E61" s="8"/>
      <c r="F61" s="7" t="s">
        <v>252</v>
      </c>
    </row>
    <row r="62" spans="1:6" ht="17.25" thickBot="1" x14ac:dyDescent="0.25">
      <c r="A62" s="7">
        <v>110058</v>
      </c>
      <c r="B62" s="7" t="s">
        <v>241</v>
      </c>
      <c r="C62" s="7" t="s">
        <v>169</v>
      </c>
      <c r="D62" s="7" t="s">
        <v>253</v>
      </c>
      <c r="E62" s="8"/>
      <c r="F62" s="8"/>
    </row>
    <row r="63" spans="1:6" ht="17.25" thickBot="1" x14ac:dyDescent="0.25">
      <c r="A63" s="7">
        <v>110059</v>
      </c>
      <c r="B63" s="7" t="s">
        <v>241</v>
      </c>
      <c r="C63" s="7" t="s">
        <v>169</v>
      </c>
      <c r="D63" s="7" t="s">
        <v>254</v>
      </c>
      <c r="E63" s="8"/>
      <c r="F63" s="8"/>
    </row>
    <row r="64" spans="1:6" ht="17.25" thickBot="1" x14ac:dyDescent="0.25">
      <c r="A64" s="7">
        <v>110060</v>
      </c>
      <c r="B64" s="7" t="s">
        <v>241</v>
      </c>
      <c r="C64" s="7" t="s">
        <v>169</v>
      </c>
      <c r="D64" s="7" t="s">
        <v>255</v>
      </c>
      <c r="E64" s="8"/>
      <c r="F64" s="8"/>
    </row>
    <row r="65" spans="1:6" ht="17.25" thickBot="1" x14ac:dyDescent="0.25">
      <c r="A65" s="7">
        <v>110061</v>
      </c>
      <c r="B65" s="7" t="s">
        <v>241</v>
      </c>
      <c r="C65" s="7" t="s">
        <v>169</v>
      </c>
      <c r="D65" s="7" t="s">
        <v>256</v>
      </c>
      <c r="E65" s="8"/>
      <c r="F65" s="7" t="s">
        <v>257</v>
      </c>
    </row>
    <row r="66" spans="1:6" ht="17.25" thickBot="1" x14ac:dyDescent="0.25">
      <c r="A66" s="7">
        <v>110062</v>
      </c>
      <c r="B66" s="7" t="s">
        <v>241</v>
      </c>
      <c r="C66" s="7" t="s">
        <v>169</v>
      </c>
      <c r="D66" s="7" t="s">
        <v>258</v>
      </c>
      <c r="E66" s="8"/>
      <c r="F66" s="8"/>
    </row>
    <row r="67" spans="1:6" ht="17.25" thickBot="1" x14ac:dyDescent="0.25">
      <c r="A67" s="7">
        <v>110063</v>
      </c>
      <c r="B67" s="7" t="s">
        <v>241</v>
      </c>
      <c r="C67" s="7" t="s">
        <v>169</v>
      </c>
      <c r="D67" s="7" t="s">
        <v>259</v>
      </c>
      <c r="E67" s="8"/>
      <c r="F67" s="8"/>
    </row>
    <row r="68" spans="1:6" ht="17.25" thickBot="1" x14ac:dyDescent="0.25">
      <c r="A68" s="7">
        <v>110064</v>
      </c>
      <c r="B68" s="7" t="s">
        <v>241</v>
      </c>
      <c r="C68" s="7" t="s">
        <v>169</v>
      </c>
      <c r="D68" s="7" t="s">
        <v>260</v>
      </c>
      <c r="E68" s="8"/>
      <c r="F68" s="7" t="s">
        <v>261</v>
      </c>
    </row>
    <row r="69" spans="1:6" ht="17.25" thickBot="1" x14ac:dyDescent="0.25">
      <c r="A69" s="7">
        <v>110065</v>
      </c>
      <c r="B69" s="7" t="s">
        <v>241</v>
      </c>
      <c r="C69" s="7" t="s">
        <v>169</v>
      </c>
      <c r="D69" s="7" t="s">
        <v>262</v>
      </c>
      <c r="E69" s="8"/>
      <c r="F69" s="7" t="s">
        <v>263</v>
      </c>
    </row>
    <row r="70" spans="1:6" ht="17.25" thickBot="1" x14ac:dyDescent="0.25">
      <c r="A70" s="7">
        <v>110066</v>
      </c>
      <c r="B70" s="7" t="s">
        <v>241</v>
      </c>
      <c r="C70" s="7" t="s">
        <v>169</v>
      </c>
      <c r="D70" s="7" t="s">
        <v>264</v>
      </c>
      <c r="E70" s="8"/>
      <c r="F70" s="7" t="s">
        <v>265</v>
      </c>
    </row>
    <row r="71" spans="1:6" ht="17.25" thickBot="1" x14ac:dyDescent="0.25">
      <c r="A71" s="7">
        <v>110067</v>
      </c>
      <c r="B71" s="7" t="s">
        <v>241</v>
      </c>
      <c r="C71" s="7" t="s">
        <v>169</v>
      </c>
      <c r="D71" s="7" t="s">
        <v>266</v>
      </c>
      <c r="E71" s="8"/>
      <c r="F71" s="7" t="s">
        <v>267</v>
      </c>
    </row>
    <row r="72" spans="1:6" ht="17.25" thickBot="1" x14ac:dyDescent="0.25">
      <c r="A72" s="7">
        <v>110068</v>
      </c>
      <c r="B72" s="7" t="s">
        <v>241</v>
      </c>
      <c r="C72" s="7" t="s">
        <v>169</v>
      </c>
      <c r="D72" s="7" t="s">
        <v>268</v>
      </c>
      <c r="E72" s="8"/>
      <c r="F72" s="7" t="s">
        <v>269</v>
      </c>
    </row>
    <row r="73" spans="1:6" ht="17.25" thickBot="1" x14ac:dyDescent="0.25">
      <c r="A73" s="7">
        <v>110069</v>
      </c>
      <c r="B73" s="7" t="s">
        <v>241</v>
      </c>
      <c r="C73" s="7" t="s">
        <v>169</v>
      </c>
      <c r="D73" s="7" t="s">
        <v>270</v>
      </c>
      <c r="E73" s="8"/>
      <c r="F73" s="7" t="s">
        <v>271</v>
      </c>
    </row>
    <row r="74" spans="1:6" ht="17.25" thickBot="1" x14ac:dyDescent="0.25">
      <c r="A74" s="7">
        <v>110070</v>
      </c>
      <c r="B74" s="7" t="s">
        <v>241</v>
      </c>
      <c r="C74" s="7" t="s">
        <v>169</v>
      </c>
      <c r="D74" s="7" t="s">
        <v>272</v>
      </c>
      <c r="E74" s="8"/>
      <c r="F74" s="8"/>
    </row>
    <row r="75" spans="1:6" ht="17.25" thickBot="1" x14ac:dyDescent="0.25">
      <c r="A75" s="7">
        <v>110071</v>
      </c>
      <c r="B75" s="7" t="s">
        <v>241</v>
      </c>
      <c r="C75" s="7" t="s">
        <v>169</v>
      </c>
      <c r="D75" s="7" t="s">
        <v>273</v>
      </c>
      <c r="E75" s="8"/>
      <c r="F75" s="7" t="s">
        <v>274</v>
      </c>
    </row>
    <row r="76" spans="1:6" ht="17.25" thickBot="1" x14ac:dyDescent="0.25">
      <c r="A76" s="7">
        <v>110072</v>
      </c>
      <c r="B76" s="7" t="s">
        <v>241</v>
      </c>
      <c r="C76" s="7" t="s">
        <v>169</v>
      </c>
      <c r="D76" s="7" t="s">
        <v>275</v>
      </c>
      <c r="E76" s="8"/>
      <c r="F76" s="8"/>
    </row>
    <row r="77" spans="1:6" ht="17.25" thickBot="1" x14ac:dyDescent="0.25">
      <c r="A77" s="7">
        <v>110073</v>
      </c>
      <c r="B77" s="7" t="s">
        <v>241</v>
      </c>
      <c r="C77" s="7" t="s">
        <v>169</v>
      </c>
      <c r="D77" s="7" t="s">
        <v>276</v>
      </c>
      <c r="E77" s="8"/>
      <c r="F77" s="8"/>
    </row>
    <row r="78" spans="1:6" ht="17.25" thickBot="1" x14ac:dyDescent="0.25">
      <c r="A78" s="7">
        <v>110074</v>
      </c>
      <c r="B78" s="7" t="s">
        <v>241</v>
      </c>
      <c r="C78" s="7" t="s">
        <v>169</v>
      </c>
      <c r="D78" s="7" t="s">
        <v>277</v>
      </c>
      <c r="E78" s="8"/>
      <c r="F78" s="8"/>
    </row>
    <row r="79" spans="1:6" ht="17.25" thickBot="1" x14ac:dyDescent="0.25">
      <c r="A79" s="7">
        <v>110075</v>
      </c>
      <c r="B79" s="7" t="s">
        <v>241</v>
      </c>
      <c r="C79" s="7" t="s">
        <v>169</v>
      </c>
      <c r="D79" s="7" t="s">
        <v>278</v>
      </c>
      <c r="E79" s="8"/>
      <c r="F79" s="8"/>
    </row>
    <row r="80" spans="1:6" ht="17.25" thickBot="1" x14ac:dyDescent="0.25">
      <c r="A80" s="7">
        <v>110076</v>
      </c>
      <c r="B80" s="7" t="s">
        <v>241</v>
      </c>
      <c r="C80" s="7" t="s">
        <v>169</v>
      </c>
      <c r="D80" s="7" t="s">
        <v>279</v>
      </c>
      <c r="E80" s="8"/>
      <c r="F80" s="7" t="s">
        <v>280</v>
      </c>
    </row>
    <row r="81" spans="1:6" ht="17.25" thickBot="1" x14ac:dyDescent="0.25">
      <c r="A81" s="7">
        <v>110077</v>
      </c>
      <c r="B81" s="7" t="s">
        <v>241</v>
      </c>
      <c r="C81" s="7" t="s">
        <v>169</v>
      </c>
      <c r="D81" s="7" t="s">
        <v>281</v>
      </c>
      <c r="E81" s="8"/>
      <c r="F81" s="8"/>
    </row>
    <row r="82" spans="1:6" ht="17.25" thickBot="1" x14ac:dyDescent="0.25">
      <c r="A82" s="7">
        <v>110078</v>
      </c>
      <c r="B82" s="7" t="s">
        <v>241</v>
      </c>
      <c r="C82" s="7" t="s">
        <v>169</v>
      </c>
      <c r="D82" s="7" t="s">
        <v>282</v>
      </c>
      <c r="E82" s="8"/>
      <c r="F82" s="8"/>
    </row>
    <row r="83" spans="1:6" ht="17.25" thickBot="1" x14ac:dyDescent="0.25">
      <c r="A83" s="7">
        <v>110079</v>
      </c>
      <c r="B83" s="7" t="s">
        <v>241</v>
      </c>
      <c r="C83" s="7" t="s">
        <v>169</v>
      </c>
      <c r="D83" s="7" t="s">
        <v>283</v>
      </c>
      <c r="E83" s="8"/>
      <c r="F83" s="7" t="s">
        <v>284</v>
      </c>
    </row>
    <row r="84" spans="1:6" ht="17.25" thickBot="1" x14ac:dyDescent="0.25">
      <c r="A84" s="7">
        <v>110080</v>
      </c>
      <c r="B84" s="7" t="s">
        <v>241</v>
      </c>
      <c r="C84" s="7" t="s">
        <v>169</v>
      </c>
      <c r="D84" s="7" t="s">
        <v>285</v>
      </c>
      <c r="E84" s="8"/>
      <c r="F84" s="7" t="s">
        <v>286</v>
      </c>
    </row>
    <row r="85" spans="1:6" ht="17.25" thickBot="1" x14ac:dyDescent="0.25">
      <c r="A85" s="7">
        <v>110081</v>
      </c>
      <c r="B85" s="7" t="s">
        <v>287</v>
      </c>
      <c r="C85" s="7" t="s">
        <v>169</v>
      </c>
      <c r="D85" s="7" t="s">
        <v>288</v>
      </c>
      <c r="E85" s="8"/>
      <c r="F85" s="8"/>
    </row>
    <row r="86" spans="1:6" ht="17.25" thickBot="1" x14ac:dyDescent="0.25">
      <c r="A86" s="7">
        <v>110082</v>
      </c>
      <c r="B86" s="7" t="s">
        <v>287</v>
      </c>
      <c r="C86" s="7" t="s">
        <v>169</v>
      </c>
      <c r="D86" s="7" t="s">
        <v>289</v>
      </c>
      <c r="E86" s="8"/>
      <c r="F86" s="7" t="s">
        <v>290</v>
      </c>
    </row>
    <row r="87" spans="1:6" ht="17.25" thickBot="1" x14ac:dyDescent="0.25">
      <c r="A87" s="7">
        <v>110083</v>
      </c>
      <c r="B87" s="7" t="s">
        <v>287</v>
      </c>
      <c r="C87" s="7" t="s">
        <v>169</v>
      </c>
      <c r="D87" s="7" t="s">
        <v>291</v>
      </c>
      <c r="E87" s="8"/>
      <c r="F87" s="8"/>
    </row>
    <row r="88" spans="1:6" ht="17.25" thickBot="1" x14ac:dyDescent="0.25">
      <c r="A88" s="7">
        <v>110084</v>
      </c>
      <c r="B88" s="7" t="s">
        <v>287</v>
      </c>
      <c r="C88" s="7" t="s">
        <v>169</v>
      </c>
      <c r="D88" s="7" t="s">
        <v>292</v>
      </c>
      <c r="E88" s="8"/>
      <c r="F88" s="9" t="s">
        <v>293</v>
      </c>
    </row>
    <row r="89" spans="1:6" ht="17.25" thickBot="1" x14ac:dyDescent="0.25">
      <c r="A89" s="7">
        <v>110085</v>
      </c>
      <c r="B89" s="7" t="s">
        <v>287</v>
      </c>
      <c r="C89" s="7" t="s">
        <v>169</v>
      </c>
      <c r="D89" s="7" t="s">
        <v>294</v>
      </c>
      <c r="E89" s="8"/>
      <c r="F89" s="8"/>
    </row>
    <row r="90" spans="1:6" ht="17.25" thickBot="1" x14ac:dyDescent="0.25">
      <c r="A90" s="7">
        <v>110086</v>
      </c>
      <c r="B90" s="7" t="s">
        <v>287</v>
      </c>
      <c r="C90" s="7" t="s">
        <v>169</v>
      </c>
      <c r="D90" s="7" t="s">
        <v>295</v>
      </c>
      <c r="E90" s="8"/>
      <c r="F90" s="8"/>
    </row>
    <row r="91" spans="1:6" ht="17.25" thickBot="1" x14ac:dyDescent="0.25">
      <c r="A91" s="7">
        <v>110087</v>
      </c>
      <c r="B91" s="7" t="s">
        <v>287</v>
      </c>
      <c r="C91" s="7" t="s">
        <v>169</v>
      </c>
      <c r="D91" s="7" t="s">
        <v>296</v>
      </c>
      <c r="E91" s="8"/>
      <c r="F91" s="8"/>
    </row>
    <row r="92" spans="1:6" ht="17.25" thickBot="1" x14ac:dyDescent="0.25">
      <c r="A92" s="7">
        <v>110088</v>
      </c>
      <c r="B92" s="7" t="s">
        <v>287</v>
      </c>
      <c r="C92" s="7" t="s">
        <v>169</v>
      </c>
      <c r="D92" s="7" t="s">
        <v>297</v>
      </c>
      <c r="E92" s="8"/>
      <c r="F92" s="8"/>
    </row>
    <row r="93" spans="1:6" ht="17.25" thickBot="1" x14ac:dyDescent="0.25">
      <c r="A93" s="7">
        <v>110089</v>
      </c>
      <c r="B93" s="7" t="s">
        <v>287</v>
      </c>
      <c r="C93" s="7" t="s">
        <v>169</v>
      </c>
      <c r="D93" s="7" t="s">
        <v>298</v>
      </c>
      <c r="E93" s="8"/>
      <c r="F93" s="7" t="s">
        <v>299</v>
      </c>
    </row>
    <row r="94" spans="1:6" ht="17.25" thickBot="1" x14ac:dyDescent="0.25">
      <c r="A94" s="7">
        <v>110090</v>
      </c>
      <c r="B94" s="7" t="s">
        <v>287</v>
      </c>
      <c r="C94" s="7" t="s">
        <v>169</v>
      </c>
      <c r="D94" s="7" t="s">
        <v>300</v>
      </c>
      <c r="E94" s="8"/>
      <c r="F94" s="7" t="s">
        <v>301</v>
      </c>
    </row>
    <row r="95" spans="1:6" ht="17.25" thickBot="1" x14ac:dyDescent="0.25">
      <c r="A95" s="7">
        <v>110091</v>
      </c>
      <c r="B95" s="7" t="s">
        <v>287</v>
      </c>
      <c r="C95" s="7" t="s">
        <v>169</v>
      </c>
      <c r="D95" s="7" t="s">
        <v>302</v>
      </c>
      <c r="E95" s="8"/>
      <c r="F95" s="8"/>
    </row>
    <row r="96" spans="1:6" ht="17.25" thickBot="1" x14ac:dyDescent="0.25">
      <c r="A96" s="7">
        <v>110092</v>
      </c>
      <c r="B96" s="7" t="s">
        <v>287</v>
      </c>
      <c r="C96" s="7" t="s">
        <v>169</v>
      </c>
      <c r="D96" s="7" t="s">
        <v>303</v>
      </c>
      <c r="E96" s="8"/>
      <c r="F96" s="8"/>
    </row>
    <row r="97" spans="1:6" ht="17.25" thickBot="1" x14ac:dyDescent="0.25">
      <c r="A97" s="7">
        <v>110093</v>
      </c>
      <c r="B97" s="7" t="s">
        <v>287</v>
      </c>
      <c r="C97" s="7" t="s">
        <v>169</v>
      </c>
      <c r="D97" s="7" t="s">
        <v>304</v>
      </c>
      <c r="E97" s="8"/>
      <c r="F97" s="7" t="s">
        <v>305</v>
      </c>
    </row>
    <row r="98" spans="1:6" ht="17.25" thickBot="1" x14ac:dyDescent="0.25">
      <c r="A98" s="7">
        <v>110094</v>
      </c>
      <c r="B98" s="7" t="s">
        <v>287</v>
      </c>
      <c r="C98" s="7" t="s">
        <v>169</v>
      </c>
      <c r="D98" s="7" t="s">
        <v>306</v>
      </c>
      <c r="E98" s="8"/>
      <c r="F98" s="7" t="s">
        <v>307</v>
      </c>
    </row>
    <row r="99" spans="1:6" ht="17.25" thickBot="1" x14ac:dyDescent="0.25">
      <c r="A99" s="7">
        <v>110095</v>
      </c>
      <c r="B99" s="7" t="s">
        <v>287</v>
      </c>
      <c r="C99" s="7" t="s">
        <v>169</v>
      </c>
      <c r="D99" s="7" t="s">
        <v>308</v>
      </c>
      <c r="E99" s="8"/>
      <c r="F99" s="7" t="s">
        <v>309</v>
      </c>
    </row>
    <row r="100" spans="1:6" ht="17.25" thickBot="1" x14ac:dyDescent="0.25">
      <c r="A100" s="7">
        <v>110096</v>
      </c>
      <c r="B100" s="7" t="s">
        <v>287</v>
      </c>
      <c r="C100" s="7" t="s">
        <v>169</v>
      </c>
      <c r="D100" s="7" t="s">
        <v>310</v>
      </c>
      <c r="E100" s="8"/>
      <c r="F100" s="8"/>
    </row>
    <row r="101" spans="1:6" ht="17.25" thickBot="1" x14ac:dyDescent="0.25">
      <c r="A101" s="7">
        <v>110097</v>
      </c>
      <c r="B101" s="7" t="s">
        <v>287</v>
      </c>
      <c r="C101" s="7" t="s">
        <v>169</v>
      </c>
      <c r="D101" s="7" t="s">
        <v>311</v>
      </c>
      <c r="E101" s="8"/>
      <c r="F101" s="8"/>
    </row>
    <row r="102" spans="1:6" ht="17.25" thickBot="1" x14ac:dyDescent="0.25">
      <c r="A102" s="7">
        <v>110098</v>
      </c>
      <c r="B102" s="7" t="s">
        <v>287</v>
      </c>
      <c r="C102" s="7" t="s">
        <v>169</v>
      </c>
      <c r="D102" s="7" t="s">
        <v>312</v>
      </c>
      <c r="E102" s="8"/>
      <c r="F102" s="7" t="s">
        <v>313</v>
      </c>
    </row>
    <row r="103" spans="1:6" ht="17.25" thickBot="1" x14ac:dyDescent="0.25">
      <c r="A103" s="7">
        <v>110099</v>
      </c>
      <c r="B103" s="7" t="s">
        <v>287</v>
      </c>
      <c r="C103" s="7" t="s">
        <v>169</v>
      </c>
      <c r="D103" s="7" t="s">
        <v>314</v>
      </c>
      <c r="E103" s="8"/>
      <c r="F103" s="8"/>
    </row>
    <row r="104" spans="1:6" ht="17.25" thickBot="1" x14ac:dyDescent="0.25">
      <c r="A104" s="7">
        <v>110100</v>
      </c>
      <c r="B104" s="7" t="s">
        <v>287</v>
      </c>
      <c r="C104" s="7" t="s">
        <v>169</v>
      </c>
      <c r="D104" s="7" t="s">
        <v>315</v>
      </c>
      <c r="E104" s="8"/>
      <c r="F104" s="8"/>
    </row>
    <row r="105" spans="1:6" ht="17.25" thickBot="1" x14ac:dyDescent="0.25">
      <c r="A105" s="7">
        <v>110101</v>
      </c>
      <c r="B105" s="7" t="s">
        <v>287</v>
      </c>
      <c r="C105" s="7" t="s">
        <v>169</v>
      </c>
      <c r="D105" s="7" t="s">
        <v>316</v>
      </c>
      <c r="E105" s="8"/>
      <c r="F105" s="7" t="s">
        <v>317</v>
      </c>
    </row>
    <row r="106" spans="1:6" ht="17.25" thickBot="1" x14ac:dyDescent="0.25">
      <c r="A106" s="7">
        <v>110102</v>
      </c>
      <c r="B106" s="7" t="s">
        <v>287</v>
      </c>
      <c r="C106" s="7" t="s">
        <v>169</v>
      </c>
      <c r="D106" s="7" t="s">
        <v>318</v>
      </c>
      <c r="E106" s="8"/>
      <c r="F106" s="8"/>
    </row>
    <row r="107" spans="1:6" ht="17.25" thickBot="1" x14ac:dyDescent="0.25">
      <c r="A107" s="7">
        <v>190001</v>
      </c>
      <c r="B107" s="7" t="s">
        <v>319</v>
      </c>
      <c r="C107" s="7" t="s">
        <v>169</v>
      </c>
      <c r="D107" s="7" t="s">
        <v>320</v>
      </c>
      <c r="E107" s="8"/>
      <c r="F107" s="8"/>
    </row>
    <row r="108" spans="1:6" ht="17.25" thickBot="1" x14ac:dyDescent="0.25">
      <c r="A108" s="7">
        <v>190002</v>
      </c>
      <c r="B108" s="7" t="s">
        <v>319</v>
      </c>
      <c r="C108" s="7" t="s">
        <v>169</v>
      </c>
      <c r="D108" s="7" t="s">
        <v>321</v>
      </c>
      <c r="E108" s="8"/>
      <c r="F108" s="7" t="s">
        <v>322</v>
      </c>
    </row>
    <row r="109" spans="1:6" ht="17.25" thickBot="1" x14ac:dyDescent="0.25">
      <c r="A109" s="7">
        <v>190101</v>
      </c>
      <c r="B109" s="7" t="s">
        <v>323</v>
      </c>
      <c r="C109" s="7" t="s">
        <v>169</v>
      </c>
      <c r="D109" s="7" t="s">
        <v>324</v>
      </c>
      <c r="E109" s="8"/>
      <c r="F109" s="8"/>
    </row>
    <row r="110" spans="1:6" ht="17.25" thickBot="1" x14ac:dyDescent="0.25">
      <c r="A110" s="7">
        <v>190102</v>
      </c>
      <c r="B110" s="7" t="s">
        <v>323</v>
      </c>
      <c r="C110" s="7" t="s">
        <v>169</v>
      </c>
      <c r="D110" s="7" t="s">
        <v>325</v>
      </c>
      <c r="E110" s="8"/>
      <c r="F110" s="8"/>
    </row>
  </sheetData>
  <sortState xmlns:xlrd2="http://schemas.microsoft.com/office/spreadsheetml/2017/richdata2" ref="A2:F142">
    <sortCondition ref="A2:A142"/>
  </sortState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C416-FB0B-451D-B155-C2F36043718F}">
  <dimension ref="A1:AR2"/>
  <sheetViews>
    <sheetView tabSelected="1" workbookViewId="0">
      <selection activeCell="H12" sqref="H12"/>
    </sheetView>
  </sheetViews>
  <sheetFormatPr defaultRowHeight="16.5" x14ac:dyDescent="0.3"/>
  <cols>
    <col min="1" max="1" width="19.875" style="2" bestFit="1" customWidth="1"/>
    <col min="2" max="2" width="15.875" style="2" bestFit="1" customWidth="1"/>
    <col min="3" max="3" width="12.125" style="2" bestFit="1" customWidth="1"/>
    <col min="4" max="4" width="14.375" style="2" bestFit="1" customWidth="1"/>
    <col min="5" max="5" width="18.125" style="2" bestFit="1" customWidth="1"/>
    <col min="6" max="6" width="19" style="2" bestFit="1" customWidth="1"/>
    <col min="7" max="7" width="19.125" style="2" bestFit="1" customWidth="1"/>
    <col min="8" max="8" width="17.625" style="2" bestFit="1" customWidth="1"/>
    <col min="9" max="9" width="12.875" style="2" bestFit="1" customWidth="1"/>
    <col min="10" max="10" width="17.25" style="2" bestFit="1" customWidth="1"/>
    <col min="11" max="11" width="17.125" style="2" bestFit="1" customWidth="1"/>
    <col min="12" max="12" width="10.125" style="2" bestFit="1" customWidth="1"/>
    <col min="13" max="13" width="11.25" style="2" bestFit="1" customWidth="1"/>
    <col min="14" max="14" width="13.625" style="2" bestFit="1" customWidth="1"/>
    <col min="15" max="15" width="15.125" style="2" bestFit="1" customWidth="1"/>
    <col min="16" max="16" width="23" style="2" bestFit="1" customWidth="1"/>
    <col min="17" max="17" width="9.25" style="2" bestFit="1" customWidth="1"/>
    <col min="18" max="18" width="12.875" style="2" bestFit="1" customWidth="1"/>
    <col min="19" max="19" width="13.125" style="2" bestFit="1" customWidth="1"/>
    <col min="20" max="20" width="19.125" style="2" bestFit="1" customWidth="1"/>
    <col min="21" max="22" width="23.75" style="2" bestFit="1" customWidth="1"/>
    <col min="23" max="23" width="14.75" style="2" bestFit="1" customWidth="1"/>
    <col min="24" max="24" width="18.625" style="2" bestFit="1" customWidth="1"/>
    <col min="25" max="25" width="24" style="2" bestFit="1" customWidth="1"/>
    <col min="26" max="26" width="20.375" style="2" bestFit="1" customWidth="1"/>
    <col min="27" max="27" width="20.625" style="2" bestFit="1" customWidth="1"/>
    <col min="28" max="28" width="15.875" style="2" bestFit="1" customWidth="1"/>
    <col min="29" max="29" width="14.125" style="2" bestFit="1" customWidth="1"/>
    <col min="30" max="30" width="13.375" style="2" bestFit="1" customWidth="1"/>
    <col min="31" max="31" width="16" style="2" bestFit="1" customWidth="1"/>
    <col min="32" max="32" width="15.25" style="2" bestFit="1" customWidth="1"/>
    <col min="33" max="33" width="15.5" style="2" bestFit="1" customWidth="1"/>
    <col min="34" max="34" width="14.25" style="2" bestFit="1" customWidth="1"/>
    <col min="35" max="35" width="18.125" style="2" bestFit="1" customWidth="1"/>
    <col min="36" max="36" width="18.75" style="2" bestFit="1" customWidth="1"/>
    <col min="37" max="37" width="14.125" style="2" bestFit="1" customWidth="1"/>
    <col min="38" max="38" width="12.125" style="2" bestFit="1" customWidth="1"/>
    <col min="39" max="39" width="14.375" style="2" bestFit="1" customWidth="1"/>
    <col min="40" max="40" width="18.75" style="2" bestFit="1" customWidth="1"/>
    <col min="41" max="41" width="14.125" style="2" bestFit="1" customWidth="1"/>
    <col min="42" max="42" width="14" style="2" bestFit="1" customWidth="1"/>
    <col min="43" max="43" width="19" style="2" bestFit="1" customWidth="1"/>
    <col min="44" max="44" width="16" style="2" bestFit="1" customWidth="1"/>
    <col min="45" max="16384" width="9" style="2"/>
  </cols>
  <sheetData>
    <row r="1" spans="1:44" x14ac:dyDescent="0.3">
      <c r="A1" s="2" t="str" cm="1">
        <f t="array" ref="A1:AR2">TRANSPOSE(_xlfn.DROP(_xlfn._xlws.FILTER(ConfigDataTable_Edit!A:B, ConfigDataTable_Edit!A:A&lt;&gt;""), 1))</f>
        <v>UsedBatteryPerWork</v>
      </c>
      <c r="B1" s="2" t="str">
        <v>RealTimePerDay</v>
      </c>
      <c r="C1" s="2" t="str">
        <v>DaysPerYear</v>
      </c>
      <c r="D1" s="2" t="str">
        <v>DaysPerMonth</v>
      </c>
      <c r="E1" s="2" t="str">
        <v>RocketSlotAmount</v>
      </c>
      <c r="F1" s="2" t="str">
        <v>RocketDeliveryTime</v>
      </c>
      <c r="G1" s="2" t="str">
        <v>RocketLoadingTime</v>
      </c>
      <c r="H1" s="2" t="str">
        <v>BadEndGraceDays</v>
      </c>
      <c r="I1" s="2" t="str">
        <v>GraceInterest</v>
      </c>
      <c r="J1" s="2" t="str">
        <v>MarketOpenHour</v>
      </c>
      <c r="K1" s="2" t="str">
        <v>MarketCloseHour</v>
      </c>
      <c r="L1" s="2" t="str">
        <v>EventProb</v>
      </c>
      <c r="M1" s="2" t="str">
        <v>RumorProb</v>
      </c>
      <c r="N1" s="2" t="str">
        <v>RumorStdMul</v>
      </c>
      <c r="O1" s="2" t="str">
        <v>FollowUpDecay</v>
      </c>
      <c r="P1" s="2" t="str">
        <v>FollowUpOverMeanMul</v>
      </c>
      <c r="Q1" s="2" t="str">
        <v>EmgProb</v>
      </c>
      <c r="R1" s="2" t="str">
        <v>EmgMinDays</v>
      </c>
      <c r="S1" s="2" t="str">
        <v>EmgMaxDays</v>
      </c>
      <c r="T1" s="2" t="str">
        <v>EmgCoolDownDays</v>
      </c>
      <c r="U1" s="2" t="str">
        <v>EmgAfterLockReachDays</v>
      </c>
      <c r="V1" s="2" t="str">
        <v>EmgAfterLockExpireDays</v>
      </c>
      <c r="W1" s="2" t="str">
        <v>EmgLockDecay</v>
      </c>
      <c r="X1" s="2" t="str">
        <v>EmgVirtualLineMul</v>
      </c>
      <c r="Y1" s="2" t="str">
        <v>EmgVirtualLineKeepDays</v>
      </c>
      <c r="Z1" s="2" t="str">
        <v>RegressionRangeMin</v>
      </c>
      <c r="AA1" s="2" t="str">
        <v>RegressionRangeMax</v>
      </c>
      <c r="AB1" s="2" t="str">
        <v>LineSampleDays</v>
      </c>
      <c r="AC1" s="2" t="str">
        <v>LineSettleDays</v>
      </c>
      <c r="AD1" s="2" t="str">
        <v>LineBinSigma</v>
      </c>
      <c r="AE1" s="2" t="str">
        <v>LineMinSamples</v>
      </c>
      <c r="AF1" s="2" t="str">
        <v>LineBlockDecay</v>
      </c>
      <c r="AG1" s="2" t="str">
        <v>LineQuietPower</v>
      </c>
      <c r="AH1" s="2" t="str">
        <v>TaxPeriodDays</v>
      </c>
      <c r="AI1" s="2" t="str">
        <v>EndingGoalMoney</v>
      </c>
      <c r="AJ1" s="2" t="str">
        <v>StartingPotatoSeed</v>
      </c>
      <c r="AK1" s="2" t="str">
        <v>StartingPotato</v>
      </c>
      <c r="AL1" s="2" t="str">
        <v>StartingNPC</v>
      </c>
      <c r="AM1" s="2" t="str">
        <v>StartingMoney</v>
      </c>
      <c r="AN1" s="2" t="str">
        <v>ExpireWarningDays</v>
      </c>
      <c r="AO1" s="2" t="str">
        <v>TimeScaleStep</v>
      </c>
      <c r="AP1" s="2" t="str">
        <v>TimeScaleMax</v>
      </c>
      <c r="AQ1" s="2" t="str">
        <v>UITimeStepMinutes</v>
      </c>
      <c r="AR1" s="2" t="str">
        <v>FieldMaxExpand</v>
      </c>
    </row>
    <row r="2" spans="1:44" x14ac:dyDescent="0.3">
      <c r="A2" s="2">
        <v>1</v>
      </c>
      <c r="B2" s="2">
        <v>600</v>
      </c>
      <c r="C2" s="2">
        <v>336</v>
      </c>
      <c r="D2" s="2">
        <v>28</v>
      </c>
      <c r="E2" s="2">
        <v>16</v>
      </c>
      <c r="F2" s="2">
        <v>7200</v>
      </c>
      <c r="G2" s="2">
        <v>7200</v>
      </c>
      <c r="H2" s="2">
        <v>7</v>
      </c>
      <c r="I2" s="2">
        <v>0.1</v>
      </c>
      <c r="J2" s="2">
        <v>9</v>
      </c>
      <c r="K2" s="2">
        <v>23</v>
      </c>
      <c r="L2" s="2">
        <v>0.25</v>
      </c>
      <c r="M2" s="2">
        <v>0.25</v>
      </c>
      <c r="N2" s="2">
        <v>1.3</v>
      </c>
      <c r="O2" s="2">
        <v>0.7</v>
      </c>
      <c r="P2" s="2">
        <v>1.3</v>
      </c>
      <c r="Q2" s="2">
        <v>0.1</v>
      </c>
      <c r="R2" s="2">
        <v>7</v>
      </c>
      <c r="S2" s="2">
        <v>14</v>
      </c>
      <c r="T2" s="2">
        <v>28</v>
      </c>
      <c r="U2" s="2">
        <v>10</v>
      </c>
      <c r="V2" s="2">
        <v>7</v>
      </c>
      <c r="W2" s="2">
        <v>0.7</v>
      </c>
      <c r="X2" s="2">
        <v>0.3</v>
      </c>
      <c r="Y2" s="2">
        <v>7</v>
      </c>
      <c r="Z2" s="2">
        <v>0.5</v>
      </c>
      <c r="AA2" s="2">
        <v>2</v>
      </c>
      <c r="AB2" s="2">
        <v>28</v>
      </c>
      <c r="AC2" s="2">
        <v>14</v>
      </c>
      <c r="AD2" s="2">
        <v>0.5</v>
      </c>
      <c r="AE2" s="2">
        <v>2</v>
      </c>
      <c r="AF2" s="2">
        <v>0.7</v>
      </c>
      <c r="AG2" s="2">
        <v>0.3</v>
      </c>
      <c r="AH2" s="2">
        <v>28</v>
      </c>
      <c r="AI2" s="2">
        <v>100000000</v>
      </c>
      <c r="AJ2" s="2">
        <v>9</v>
      </c>
      <c r="AK2" s="2">
        <v>10</v>
      </c>
      <c r="AL2" s="2">
        <v>1</v>
      </c>
      <c r="AM2" s="2">
        <v>10000</v>
      </c>
      <c r="AN2" s="2">
        <v>1</v>
      </c>
      <c r="AO2" s="2">
        <v>0.5</v>
      </c>
      <c r="AP2" s="2">
        <v>2</v>
      </c>
      <c r="AQ2" s="2">
        <v>10</v>
      </c>
      <c r="AR2" s="2">
        <v>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9480-722F-4F2F-A13A-591DDB093F83}">
  <sheetPr codeName="Sheet12"/>
  <dimension ref="A1:J45"/>
  <sheetViews>
    <sheetView workbookViewId="0">
      <selection activeCell="H21" sqref="H21"/>
    </sheetView>
  </sheetViews>
  <sheetFormatPr defaultRowHeight="16.5" x14ac:dyDescent="0.3"/>
  <cols>
    <col min="1" max="1" width="26.125" style="2" bestFit="1" customWidth="1"/>
    <col min="2" max="2" width="15.875" style="2" bestFit="1" customWidth="1"/>
    <col min="3" max="3" width="11.25" style="2" bestFit="1" customWidth="1"/>
    <col min="4" max="4" width="18.125" style="2" bestFit="1" customWidth="1"/>
    <col min="5" max="5" width="19" style="2" bestFit="1" customWidth="1"/>
    <col min="6" max="6" width="19.125" style="2" bestFit="1" customWidth="1"/>
    <col min="7" max="7" width="26.125" style="2" bestFit="1" customWidth="1"/>
    <col min="8" max="8" width="26.125" bestFit="1" customWidth="1"/>
    <col min="9" max="9" width="19.25" style="2" bestFit="1" customWidth="1"/>
    <col min="10" max="10" width="17.25" bestFit="1" customWidth="1"/>
    <col min="11" max="11" width="17.25" style="2" bestFit="1" customWidth="1"/>
    <col min="12" max="12" width="10.125" style="2" bestFit="1" customWidth="1"/>
    <col min="13" max="13" width="11.25" style="2" bestFit="1" customWidth="1"/>
    <col min="14" max="14" width="13.625" style="2" bestFit="1" customWidth="1"/>
    <col min="15" max="15" width="15.125" style="2" bestFit="1" customWidth="1"/>
    <col min="16" max="16" width="9" style="2"/>
    <col min="17" max="17" width="23" style="2" bestFit="1" customWidth="1"/>
    <col min="18" max="18" width="15.25" style="2" bestFit="1" customWidth="1"/>
    <col min="19" max="16384" width="9" style="2"/>
  </cols>
  <sheetData>
    <row r="1" spans="1:10" s="17" customFormat="1" x14ac:dyDescent="0.3">
      <c r="A1" s="17" t="s">
        <v>69</v>
      </c>
      <c r="B1" s="17" t="s">
        <v>431</v>
      </c>
      <c r="H1" s="18"/>
      <c r="J1" s="18"/>
    </row>
    <row r="2" spans="1:10" x14ac:dyDescent="0.3">
      <c r="A2" s="2" t="s">
        <v>445</v>
      </c>
      <c r="B2" s="2">
        <v>1</v>
      </c>
    </row>
    <row r="3" spans="1:10" x14ac:dyDescent="0.3">
      <c r="A3" s="2" t="s">
        <v>404</v>
      </c>
      <c r="B3" s="2">
        <v>600</v>
      </c>
    </row>
    <row r="4" spans="1:10" x14ac:dyDescent="0.3">
      <c r="A4" s="2" t="s">
        <v>446</v>
      </c>
      <c r="B4" s="2">
        <v>336</v>
      </c>
    </row>
    <row r="5" spans="1:10" x14ac:dyDescent="0.3">
      <c r="A5" s="2" t="s">
        <v>447</v>
      </c>
      <c r="B5" s="2">
        <v>28</v>
      </c>
    </row>
    <row r="6" spans="1:10" x14ac:dyDescent="0.3">
      <c r="A6" s="2" t="s">
        <v>405</v>
      </c>
      <c r="B6" s="2">
        <v>16</v>
      </c>
    </row>
    <row r="7" spans="1:10" x14ac:dyDescent="0.3">
      <c r="A7" s="2" t="s">
        <v>406</v>
      </c>
      <c r="B7" s="2">
        <v>7200</v>
      </c>
    </row>
    <row r="8" spans="1:10" x14ac:dyDescent="0.3">
      <c r="A8" s="2" t="s">
        <v>407</v>
      </c>
      <c r="B8" s="2">
        <v>7200</v>
      </c>
    </row>
    <row r="9" spans="1:10" x14ac:dyDescent="0.3">
      <c r="A9" s="2" t="s">
        <v>477</v>
      </c>
      <c r="B9" s="2">
        <v>7</v>
      </c>
    </row>
    <row r="10" spans="1:10" x14ac:dyDescent="0.3">
      <c r="A10" s="2" t="s">
        <v>408</v>
      </c>
      <c r="B10" s="2">
        <v>0.1</v>
      </c>
    </row>
    <row r="11" spans="1:10" x14ac:dyDescent="0.3">
      <c r="A11" s="2" t="s">
        <v>409</v>
      </c>
      <c r="B11" s="2">
        <v>9</v>
      </c>
    </row>
    <row r="12" spans="1:10" x14ac:dyDescent="0.3">
      <c r="A12" s="2" t="s">
        <v>410</v>
      </c>
      <c r="B12" s="2">
        <v>23</v>
      </c>
    </row>
    <row r="13" spans="1:10" x14ac:dyDescent="0.3">
      <c r="A13" s="2" t="s">
        <v>415</v>
      </c>
      <c r="B13" s="2">
        <v>0.25</v>
      </c>
    </row>
    <row r="14" spans="1:10" x14ac:dyDescent="0.3">
      <c r="A14" s="2" t="s">
        <v>416</v>
      </c>
      <c r="B14" s="2">
        <v>0.25</v>
      </c>
    </row>
    <row r="15" spans="1:10" x14ac:dyDescent="0.3">
      <c r="A15" s="2" t="s">
        <v>417</v>
      </c>
      <c r="B15" s="2">
        <v>1.3</v>
      </c>
    </row>
    <row r="16" spans="1:10" x14ac:dyDescent="0.3">
      <c r="A16" s="2" t="s">
        <v>418</v>
      </c>
      <c r="B16" s="2">
        <v>0.7</v>
      </c>
    </row>
    <row r="17" spans="1:2" x14ac:dyDescent="0.3">
      <c r="A17" s="2" t="s">
        <v>419</v>
      </c>
      <c r="B17" s="2">
        <v>1.3</v>
      </c>
    </row>
    <row r="18" spans="1:2" x14ac:dyDescent="0.3">
      <c r="A18" s="2" t="s">
        <v>436</v>
      </c>
      <c r="B18" s="2">
        <v>0.1</v>
      </c>
    </row>
    <row r="19" spans="1:2" x14ac:dyDescent="0.3">
      <c r="A19" s="2" t="s">
        <v>437</v>
      </c>
      <c r="B19" s="2">
        <v>7</v>
      </c>
    </row>
    <row r="20" spans="1:2" x14ac:dyDescent="0.3">
      <c r="A20" s="2" t="s">
        <v>438</v>
      </c>
      <c r="B20" s="2">
        <v>14</v>
      </c>
    </row>
    <row r="21" spans="1:2" x14ac:dyDescent="0.3">
      <c r="A21" s="2" t="s">
        <v>476</v>
      </c>
      <c r="B21" s="2">
        <v>28</v>
      </c>
    </row>
    <row r="22" spans="1:2" x14ac:dyDescent="0.3">
      <c r="A22" s="2" t="s">
        <v>439</v>
      </c>
      <c r="B22" s="2">
        <v>10</v>
      </c>
    </row>
    <row r="23" spans="1:2" x14ac:dyDescent="0.3">
      <c r="A23" s="2" t="s">
        <v>440</v>
      </c>
      <c r="B23" s="2">
        <v>7</v>
      </c>
    </row>
    <row r="24" spans="1:2" x14ac:dyDescent="0.3">
      <c r="A24" s="2" t="s">
        <v>441</v>
      </c>
      <c r="B24" s="2">
        <v>0.7</v>
      </c>
    </row>
    <row r="25" spans="1:2" x14ac:dyDescent="0.3">
      <c r="A25" s="2" t="s">
        <v>448</v>
      </c>
      <c r="B25" s="2">
        <v>0.3</v>
      </c>
    </row>
    <row r="26" spans="1:2" x14ac:dyDescent="0.3">
      <c r="A26" s="2" t="s">
        <v>450</v>
      </c>
      <c r="B26" s="2">
        <v>7</v>
      </c>
    </row>
    <row r="27" spans="1:2" x14ac:dyDescent="0.3">
      <c r="A27" s="2" t="s">
        <v>452</v>
      </c>
      <c r="B27" s="2">
        <v>0.5</v>
      </c>
    </row>
    <row r="28" spans="1:2" x14ac:dyDescent="0.3">
      <c r="A28" s="2" t="s">
        <v>453</v>
      </c>
      <c r="B28" s="19">
        <v>2</v>
      </c>
    </row>
    <row r="29" spans="1:2" x14ac:dyDescent="0.3">
      <c r="A29" s="2" t="s">
        <v>454</v>
      </c>
      <c r="B29" s="2">
        <v>28</v>
      </c>
    </row>
    <row r="30" spans="1:2" x14ac:dyDescent="0.3">
      <c r="A30" s="2" t="s">
        <v>455</v>
      </c>
      <c r="B30" s="2">
        <v>14</v>
      </c>
    </row>
    <row r="31" spans="1:2" x14ac:dyDescent="0.3">
      <c r="A31" s="2" t="s">
        <v>456</v>
      </c>
      <c r="B31" s="2">
        <v>0.5</v>
      </c>
    </row>
    <row r="32" spans="1:2" x14ac:dyDescent="0.3">
      <c r="A32" s="2" t="s">
        <v>459</v>
      </c>
      <c r="B32" s="2">
        <v>2</v>
      </c>
    </row>
    <row r="33" spans="1:2" x14ac:dyDescent="0.3">
      <c r="A33" s="2" t="s">
        <v>461</v>
      </c>
      <c r="B33" s="2">
        <v>0.7</v>
      </c>
    </row>
    <row r="34" spans="1:2" x14ac:dyDescent="0.3">
      <c r="A34" s="2" t="s">
        <v>462</v>
      </c>
      <c r="B34" s="2">
        <v>0.3</v>
      </c>
    </row>
    <row r="35" spans="1:2" x14ac:dyDescent="0.3">
      <c r="A35" s="2" t="s">
        <v>464</v>
      </c>
      <c r="B35" s="2">
        <v>28</v>
      </c>
    </row>
    <row r="36" spans="1:2" x14ac:dyDescent="0.3">
      <c r="A36" s="2" t="s">
        <v>465</v>
      </c>
      <c r="B36" s="2">
        <v>100000000</v>
      </c>
    </row>
    <row r="37" spans="1:2" x14ac:dyDescent="0.3">
      <c r="A37" s="2" t="s">
        <v>466</v>
      </c>
      <c r="B37" s="2">
        <v>9</v>
      </c>
    </row>
    <row r="38" spans="1:2" x14ac:dyDescent="0.3">
      <c r="A38" s="2" t="s">
        <v>467</v>
      </c>
      <c r="B38" s="2">
        <v>10</v>
      </c>
    </row>
    <row r="39" spans="1:2" x14ac:dyDescent="0.3">
      <c r="A39" s="2" t="s">
        <v>468</v>
      </c>
      <c r="B39" s="2">
        <v>1</v>
      </c>
    </row>
    <row r="40" spans="1:2" x14ac:dyDescent="0.3">
      <c r="A40" s="2" t="s">
        <v>469</v>
      </c>
      <c r="B40" s="2">
        <v>10000</v>
      </c>
    </row>
    <row r="41" spans="1:2" x14ac:dyDescent="0.3">
      <c r="A41" s="2" t="s">
        <v>482</v>
      </c>
      <c r="B41" s="2">
        <v>1</v>
      </c>
    </row>
    <row r="42" spans="1:2" x14ac:dyDescent="0.3">
      <c r="A42" s="2" t="s">
        <v>484</v>
      </c>
      <c r="B42" s="2">
        <v>0.5</v>
      </c>
    </row>
    <row r="43" spans="1:2" x14ac:dyDescent="0.3">
      <c r="A43" s="2" t="s">
        <v>483</v>
      </c>
      <c r="B43" s="19">
        <v>2</v>
      </c>
    </row>
    <row r="44" spans="1:2" x14ac:dyDescent="0.3">
      <c r="A44" s="2" t="s">
        <v>488</v>
      </c>
      <c r="B44" s="2">
        <v>10</v>
      </c>
    </row>
    <row r="45" spans="1:2" x14ac:dyDescent="0.3">
      <c r="A45" s="2" t="s">
        <v>489</v>
      </c>
      <c r="B45" s="2">
        <v>2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FEB3-FC18-488E-84C9-FF47B12E7425}">
  <sheetPr codeName="Sheet13"/>
  <dimension ref="A1:C45"/>
  <sheetViews>
    <sheetView workbookViewId="0">
      <selection activeCell="C46" sqref="C46"/>
    </sheetView>
  </sheetViews>
  <sheetFormatPr defaultRowHeight="16.5" x14ac:dyDescent="0.3"/>
  <cols>
    <col min="1" max="1" width="26.125" style="2" bestFit="1" customWidth="1"/>
    <col min="2" max="2" width="62" style="2" bestFit="1" customWidth="1"/>
    <col min="3" max="16384" width="9" style="2"/>
  </cols>
  <sheetData>
    <row r="1" spans="1:3" s="17" customFormat="1" ht="15.75" customHeight="1" x14ac:dyDescent="0.3">
      <c r="A1" s="17" t="str" cm="1">
        <f t="array" ref="A1:A45">_xlfn.TOCOL(ConfigDataTable_Edit!A:A, 1)</f>
        <v>Column</v>
      </c>
      <c r="B1" s="17" t="s">
        <v>68</v>
      </c>
      <c r="C1" s="17" t="s">
        <v>67</v>
      </c>
    </row>
    <row r="2" spans="1:3" x14ac:dyDescent="0.3">
      <c r="A2" s="2" t="str">
        <v>UsedBatteryPerWork</v>
      </c>
      <c r="B2" s="2" t="s">
        <v>411</v>
      </c>
      <c r="C2" s="2" t="s">
        <v>72</v>
      </c>
    </row>
    <row r="3" spans="1:3" x14ac:dyDescent="0.3">
      <c r="A3" s="2" t="str">
        <v>RealTimePerDay</v>
      </c>
      <c r="B3" s="2" t="s">
        <v>425</v>
      </c>
      <c r="C3" s="2" t="s">
        <v>72</v>
      </c>
    </row>
    <row r="4" spans="1:3" x14ac:dyDescent="0.3">
      <c r="A4" s="2" t="str">
        <v>DaysPerYear</v>
      </c>
      <c r="B4" s="2" t="s">
        <v>412</v>
      </c>
      <c r="C4" s="2" t="s">
        <v>72</v>
      </c>
    </row>
    <row r="5" spans="1:3" x14ac:dyDescent="0.3">
      <c r="A5" s="2" t="str">
        <v>DaysPerMonth</v>
      </c>
      <c r="B5" s="2" t="s">
        <v>413</v>
      </c>
      <c r="C5" s="2" t="s">
        <v>72</v>
      </c>
    </row>
    <row r="6" spans="1:3" x14ac:dyDescent="0.3">
      <c r="A6" s="2" t="str">
        <v>RocketSlotAmount</v>
      </c>
      <c r="B6" s="2" t="s">
        <v>414</v>
      </c>
      <c r="C6" s="2" t="s">
        <v>72</v>
      </c>
    </row>
    <row r="7" spans="1:3" x14ac:dyDescent="0.3">
      <c r="A7" s="2" t="str">
        <v>RocketDeliveryTime</v>
      </c>
      <c r="B7" s="2" t="s">
        <v>421</v>
      </c>
      <c r="C7" s="2" t="s">
        <v>72</v>
      </c>
    </row>
    <row r="8" spans="1:3" x14ac:dyDescent="0.3">
      <c r="A8" s="2" t="str">
        <v>RocketLoadingTime</v>
      </c>
      <c r="B8" s="2" t="s">
        <v>422</v>
      </c>
      <c r="C8" s="2" t="s">
        <v>72</v>
      </c>
    </row>
    <row r="9" spans="1:3" x14ac:dyDescent="0.3">
      <c r="A9" s="2" t="str">
        <v>BadEndGraceDays</v>
      </c>
      <c r="B9" s="2" t="s">
        <v>423</v>
      </c>
      <c r="C9" s="2" t="s">
        <v>72</v>
      </c>
    </row>
    <row r="10" spans="1:3" x14ac:dyDescent="0.3">
      <c r="A10" s="2" t="str">
        <v>GraceInterest</v>
      </c>
      <c r="B10" s="2" t="s">
        <v>420</v>
      </c>
      <c r="C10" s="2" t="s">
        <v>93</v>
      </c>
    </row>
    <row r="11" spans="1:3" x14ac:dyDescent="0.3">
      <c r="A11" s="2" t="str">
        <v>MarketOpenHour</v>
      </c>
      <c r="B11" s="2" t="s">
        <v>480</v>
      </c>
      <c r="C11" s="2" t="s">
        <v>72</v>
      </c>
    </row>
    <row r="12" spans="1:3" x14ac:dyDescent="0.3">
      <c r="A12" s="2" t="str">
        <v>MarketCloseHour</v>
      </c>
      <c r="B12" s="2" t="s">
        <v>424</v>
      </c>
      <c r="C12" s="2" t="s">
        <v>72</v>
      </c>
    </row>
    <row r="13" spans="1:3" x14ac:dyDescent="0.3">
      <c r="A13" s="2" t="str">
        <v>EventProb</v>
      </c>
      <c r="B13" s="2" t="s">
        <v>426</v>
      </c>
      <c r="C13" s="2" t="s">
        <v>93</v>
      </c>
    </row>
    <row r="14" spans="1:3" x14ac:dyDescent="0.3">
      <c r="A14" s="2" t="str">
        <v>RumorProb</v>
      </c>
      <c r="B14" s="2" t="s">
        <v>427</v>
      </c>
      <c r="C14" s="2" t="s">
        <v>93</v>
      </c>
    </row>
    <row r="15" spans="1:3" x14ac:dyDescent="0.3">
      <c r="A15" s="2" t="str">
        <v>RumorStdMul</v>
      </c>
      <c r="B15" s="2" t="s">
        <v>428</v>
      </c>
      <c r="C15" s="2" t="s">
        <v>93</v>
      </c>
    </row>
    <row r="16" spans="1:3" x14ac:dyDescent="0.3">
      <c r="A16" s="2" t="str">
        <v>FollowUpDecay</v>
      </c>
      <c r="B16" s="2" t="s">
        <v>429</v>
      </c>
      <c r="C16" s="2" t="s">
        <v>93</v>
      </c>
    </row>
    <row r="17" spans="1:3" x14ac:dyDescent="0.3">
      <c r="A17" s="2" t="str">
        <v>FollowUpOverMeanMul</v>
      </c>
      <c r="B17" s="2" t="s">
        <v>430</v>
      </c>
      <c r="C17" s="2" t="s">
        <v>93</v>
      </c>
    </row>
    <row r="18" spans="1:3" x14ac:dyDescent="0.3">
      <c r="A18" s="2" t="str">
        <v>EmgProb</v>
      </c>
      <c r="B18" s="2" t="s">
        <v>432</v>
      </c>
      <c r="C18" s="2" t="s">
        <v>93</v>
      </c>
    </row>
    <row r="19" spans="1:3" x14ac:dyDescent="0.3">
      <c r="A19" s="2" t="str">
        <v>EmgMinDays</v>
      </c>
      <c r="B19" s="2" t="s">
        <v>433</v>
      </c>
      <c r="C19" s="2" t="s">
        <v>72</v>
      </c>
    </row>
    <row r="20" spans="1:3" x14ac:dyDescent="0.3">
      <c r="A20" s="2" t="str">
        <v>EmgMaxDays</v>
      </c>
      <c r="B20" s="2" t="s">
        <v>434</v>
      </c>
      <c r="C20" s="2" t="s">
        <v>72</v>
      </c>
    </row>
    <row r="21" spans="1:3" x14ac:dyDescent="0.3">
      <c r="A21" s="2" t="str">
        <v>EmgCoolDownDays</v>
      </c>
      <c r="B21" s="2" t="s">
        <v>435</v>
      </c>
      <c r="C21" s="2" t="s">
        <v>72</v>
      </c>
    </row>
    <row r="22" spans="1:3" x14ac:dyDescent="0.3">
      <c r="A22" s="2" t="str">
        <v>EmgAfterLockReachDays</v>
      </c>
      <c r="B22" s="2" t="s">
        <v>442</v>
      </c>
      <c r="C22" s="2" t="s">
        <v>72</v>
      </c>
    </row>
    <row r="23" spans="1:3" x14ac:dyDescent="0.3">
      <c r="A23" s="2" t="str">
        <v>EmgAfterLockExpireDays</v>
      </c>
      <c r="B23" s="2" t="s">
        <v>443</v>
      </c>
      <c r="C23" s="2" t="s">
        <v>72</v>
      </c>
    </row>
    <row r="24" spans="1:3" x14ac:dyDescent="0.3">
      <c r="A24" s="2" t="str">
        <v>EmgLockDecay</v>
      </c>
      <c r="B24" s="2" t="s">
        <v>444</v>
      </c>
      <c r="C24" s="2" t="s">
        <v>93</v>
      </c>
    </row>
    <row r="25" spans="1:3" x14ac:dyDescent="0.3">
      <c r="A25" s="2" t="str">
        <v>EmgVirtualLineMul</v>
      </c>
      <c r="B25" s="2" t="s">
        <v>449</v>
      </c>
      <c r="C25" s="2" t="s">
        <v>93</v>
      </c>
    </row>
    <row r="26" spans="1:3" x14ac:dyDescent="0.3">
      <c r="A26" s="2" t="str">
        <v>EmgVirtualLineKeepDays</v>
      </c>
      <c r="B26" s="2" t="s">
        <v>451</v>
      </c>
      <c r="C26" s="2" t="s">
        <v>72</v>
      </c>
    </row>
    <row r="27" spans="1:3" x14ac:dyDescent="0.3">
      <c r="A27" s="2" t="str">
        <v>RegressionRangeMin</v>
      </c>
      <c r="B27" s="2" t="s">
        <v>478</v>
      </c>
      <c r="C27" s="2" t="s">
        <v>93</v>
      </c>
    </row>
    <row r="28" spans="1:3" x14ac:dyDescent="0.3">
      <c r="A28" s="2" t="str">
        <v>RegressionRangeMax</v>
      </c>
      <c r="B28" s="2" t="s">
        <v>478</v>
      </c>
      <c r="C28" s="2" t="s">
        <v>93</v>
      </c>
    </row>
    <row r="29" spans="1:3" x14ac:dyDescent="0.3">
      <c r="A29" s="2" t="str">
        <v>LineSampleDays</v>
      </c>
      <c r="B29" s="2" t="s">
        <v>457</v>
      </c>
      <c r="C29" s="2" t="s">
        <v>72</v>
      </c>
    </row>
    <row r="30" spans="1:3" x14ac:dyDescent="0.3">
      <c r="A30" s="2" t="str">
        <v>LineSettleDays</v>
      </c>
      <c r="B30" s="2" t="s">
        <v>458</v>
      </c>
      <c r="C30" s="2" t="s">
        <v>72</v>
      </c>
    </row>
    <row r="31" spans="1:3" x14ac:dyDescent="0.3">
      <c r="A31" s="2" t="str">
        <v>LineBinSigma</v>
      </c>
      <c r="B31" s="2" t="s">
        <v>479</v>
      </c>
      <c r="C31" s="2" t="s">
        <v>93</v>
      </c>
    </row>
    <row r="32" spans="1:3" x14ac:dyDescent="0.3">
      <c r="A32" s="2" t="str">
        <v>LineMinSamples</v>
      </c>
      <c r="B32" s="2" t="s">
        <v>460</v>
      </c>
      <c r="C32" s="2" t="s">
        <v>72</v>
      </c>
    </row>
    <row r="33" spans="1:3" x14ac:dyDescent="0.3">
      <c r="A33" s="2" t="str">
        <v>LineBlockDecay</v>
      </c>
      <c r="B33" s="2" t="s">
        <v>463</v>
      </c>
      <c r="C33" s="2" t="s">
        <v>93</v>
      </c>
    </row>
    <row r="34" spans="1:3" x14ac:dyDescent="0.3">
      <c r="A34" s="2" t="str">
        <v>LineQuietPower</v>
      </c>
      <c r="B34" s="2" t="s">
        <v>481</v>
      </c>
      <c r="C34" s="2" t="s">
        <v>93</v>
      </c>
    </row>
    <row r="35" spans="1:3" x14ac:dyDescent="0.3">
      <c r="A35" s="2" t="str">
        <v>TaxPeriodDays</v>
      </c>
      <c r="B35" s="2" t="s">
        <v>470</v>
      </c>
      <c r="C35" s="2" t="s">
        <v>72</v>
      </c>
    </row>
    <row r="36" spans="1:3" x14ac:dyDescent="0.3">
      <c r="A36" s="2" t="str">
        <v>EndingGoalMoney</v>
      </c>
      <c r="B36" s="2" t="s">
        <v>471</v>
      </c>
      <c r="C36" s="2" t="s">
        <v>72</v>
      </c>
    </row>
    <row r="37" spans="1:3" x14ac:dyDescent="0.3">
      <c r="A37" s="2" t="str">
        <v>StartingPotatoSeed</v>
      </c>
      <c r="B37" s="2" t="s">
        <v>472</v>
      </c>
      <c r="C37" s="2" t="s">
        <v>72</v>
      </c>
    </row>
    <row r="38" spans="1:3" x14ac:dyDescent="0.3">
      <c r="A38" s="2" t="str">
        <v>StartingPotato</v>
      </c>
      <c r="B38" s="2" t="s">
        <v>473</v>
      </c>
      <c r="C38" s="2" t="s">
        <v>72</v>
      </c>
    </row>
    <row r="39" spans="1:3" x14ac:dyDescent="0.3">
      <c r="A39" s="2" t="str">
        <v>StartingNPC</v>
      </c>
      <c r="B39" s="2" t="s">
        <v>474</v>
      </c>
      <c r="C39" s="2" t="s">
        <v>72</v>
      </c>
    </row>
    <row r="40" spans="1:3" x14ac:dyDescent="0.3">
      <c r="A40" s="2" t="str">
        <v>StartingMoney</v>
      </c>
      <c r="B40" s="2" t="s">
        <v>475</v>
      </c>
      <c r="C40" s="2" t="s">
        <v>72</v>
      </c>
    </row>
    <row r="41" spans="1:3" x14ac:dyDescent="0.3">
      <c r="A41" s="2" t="str">
        <v>ExpireWarningDays</v>
      </c>
      <c r="B41" s="2" t="s">
        <v>485</v>
      </c>
      <c r="C41" s="2" t="s">
        <v>72</v>
      </c>
    </row>
    <row r="42" spans="1:3" x14ac:dyDescent="0.3">
      <c r="A42" s="2" t="str">
        <v>TimeScaleStep</v>
      </c>
      <c r="B42" s="2" t="s">
        <v>486</v>
      </c>
      <c r="C42" s="2" t="s">
        <v>93</v>
      </c>
    </row>
    <row r="43" spans="1:3" x14ac:dyDescent="0.3">
      <c r="A43" s="2" t="str">
        <v>TimeScaleMax</v>
      </c>
      <c r="B43" s="2" t="s">
        <v>487</v>
      </c>
      <c r="C43" s="2" t="s">
        <v>93</v>
      </c>
    </row>
    <row r="44" spans="1:3" x14ac:dyDescent="0.3">
      <c r="A44" s="2" t="str">
        <v>UITimeStepMinutes</v>
      </c>
      <c r="B44" s="2" t="s">
        <v>490</v>
      </c>
      <c r="C44" s="2" t="s">
        <v>72</v>
      </c>
    </row>
    <row r="45" spans="1:3" x14ac:dyDescent="0.3">
      <c r="A45" s="2" t="str">
        <v>FieldMaxExpand</v>
      </c>
      <c r="B45" s="2" t="s">
        <v>491</v>
      </c>
      <c r="C45" s="2" t="s">
        <v>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ItemDataTable</vt:lpstr>
      <vt:lpstr>ItemDataTable_Meta</vt:lpstr>
      <vt:lpstr>ProductDataTable</vt:lpstr>
      <vt:lpstr>ProductDataTable_Meta</vt:lpstr>
      <vt:lpstr>ObjectDataTable</vt:lpstr>
      <vt:lpstr>ObjectDataTable_Meta</vt:lpstr>
      <vt:lpstr>EventDataTable</vt:lpstr>
      <vt:lpstr>KeycodeDataTable</vt:lpstr>
      <vt:lpstr>LocalizationTable</vt:lpstr>
      <vt:lpstr>Calculator</vt:lpstr>
      <vt:lpstr>BIC_ScenarioDataTable</vt:lpstr>
      <vt:lpstr>ConfigDataTable</vt:lpstr>
      <vt:lpstr>ConfigDataTable_Edit</vt:lpstr>
      <vt:lpstr>ConfigDataTable_Meta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문선우</cp:lastModifiedBy>
  <cp:lastPrinted>2026-04-12T12:47:06Z</cp:lastPrinted>
  <dcterms:created xsi:type="dcterms:W3CDTF">2026-02-24T15:34:59Z</dcterms:created>
  <dcterms:modified xsi:type="dcterms:W3CDTF">2026-10-28T08:44:18Z</dcterms:modified>
</cp:coreProperties>
</file>