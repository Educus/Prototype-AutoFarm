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cbj1\Desktop\데이터테이블\"/>
    </mc:Choice>
  </mc:AlternateContent>
  <xr:revisionPtr revIDLastSave="0" documentId="13_ncr:1_{A3C13B32-83A9-4E12-925B-A8E02BF7BB87}" xr6:coauthVersionLast="47" xr6:coauthVersionMax="47" xr10:uidLastSave="{00000000-0000-0000-0000-000000000000}"/>
  <bookViews>
    <workbookView xWindow="-120" yWindow="-120" windowWidth="29040" windowHeight="15720" activeTab="1" xr2:uid="{00093708-AE6C-4A54-80A8-1C4208CE031C}"/>
  </bookViews>
  <sheets>
    <sheet name="ItemDataTable" sheetId="1" r:id="rId1"/>
    <sheet name="ItemDataTable_Meta" sheetId="7" r:id="rId2"/>
    <sheet name="ProductDataTable" sheetId="3" r:id="rId3"/>
    <sheet name="ProductDataTable_Meta" sheetId="8" r:id="rId4"/>
    <sheet name="EventDataTable" sheetId="4" r:id="rId5"/>
    <sheet name="RobotDataTable" sheetId="5" r:id="rId6"/>
    <sheet name="UpgradeDataTable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8" l="1" a="1"/>
  <c r="A2" i="8" s="1"/>
  <c r="A2" i="7" a="1"/>
  <c r="A2" i="7" s="1"/>
  <c r="E3" i="3"/>
  <c r="E4" i="3"/>
  <c r="E5" i="3"/>
  <c r="E6" i="3"/>
  <c r="E7" i="3"/>
  <c r="E8" i="3"/>
  <c r="E2" i="3"/>
  <c r="D15" i="1"/>
  <c r="D13" i="1"/>
  <c r="D11" i="1"/>
  <c r="D9" i="1"/>
  <c r="D7" i="1"/>
  <c r="D5" i="1"/>
  <c r="D3" i="1"/>
  <c r="B2" i="3"/>
  <c r="C2" i="3"/>
  <c r="C3" i="3"/>
  <c r="C4" i="3"/>
  <c r="C5" i="3"/>
  <c r="C6" i="3"/>
  <c r="C7" i="3"/>
  <c r="C8" i="3"/>
  <c r="B3" i="3"/>
  <c r="B4" i="3"/>
  <c r="B5" i="3"/>
  <c r="B6" i="3"/>
  <c r="B7" i="3"/>
  <c r="B8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<sst xmlns="http://schemas.openxmlformats.org/spreadsheetml/2006/main" count="159" uniqueCount="120">
  <si>
    <t>ItemID</t>
  </si>
  <si>
    <t>ItemName</t>
  </si>
  <si>
    <t>PriceStdDev</t>
  </si>
  <si>
    <t>GrowthTime</t>
  </si>
  <si>
    <t>WaterConsumption</t>
  </si>
  <si>
    <t>Potato</t>
  </si>
  <si>
    <t>Carrot</t>
  </si>
  <si>
    <t>Strawberry</t>
  </si>
  <si>
    <t>Milk</t>
  </si>
  <si>
    <t>Corn</t>
    <phoneticPr fontId="18" type="noConversion"/>
  </si>
  <si>
    <t>Onion</t>
    <phoneticPr fontId="18" type="noConversion"/>
  </si>
  <si>
    <t>BlueBerry</t>
    <phoneticPr fontId="18" type="noConversion"/>
  </si>
  <si>
    <t>ItemType</t>
    <phoneticPr fontId="18" type="noConversion"/>
  </si>
  <si>
    <t>Seed</t>
    <phoneticPr fontId="18" type="noConversion"/>
  </si>
  <si>
    <t>Product</t>
    <phoneticPr fontId="18" type="noConversion"/>
  </si>
  <si>
    <t>Bottle</t>
    <phoneticPr fontId="18" type="noConversion"/>
  </si>
  <si>
    <t>Material</t>
    <phoneticPr fontId="18" type="noConversion"/>
  </si>
  <si>
    <t>Stack</t>
    <phoneticPr fontId="18" type="noConversion"/>
  </si>
  <si>
    <t>StoragePeriod</t>
    <phoneticPr fontId="18" type="noConversion"/>
  </si>
  <si>
    <t>ItemType</t>
    <phoneticPr fontId="18" type="noConversion"/>
  </si>
  <si>
    <t>EventID</t>
    <phoneticPr fontId="18" type="noConversion"/>
  </si>
  <si>
    <t>EventType</t>
    <phoneticPr fontId="18" type="noConversion"/>
  </si>
  <si>
    <t>Average</t>
    <phoneticPr fontId="18" type="noConversion"/>
  </si>
  <si>
    <t>Linkage</t>
    <phoneticPr fontId="18" type="noConversion"/>
  </si>
  <si>
    <t>Text</t>
    <phoneticPr fontId="18" type="noConversion"/>
  </si>
  <si>
    <t>DemandIncrease</t>
    <phoneticPr fontId="18" type="noConversion"/>
  </si>
  <si>
    <t>DemandDecrease</t>
    <phoneticPr fontId="18" type="noConversion"/>
  </si>
  <si>
    <t>DemandSurge</t>
    <phoneticPr fontId="18" type="noConversion"/>
  </si>
  <si>
    <t>DemandCollapse</t>
    <phoneticPr fontId="18" type="noConversion"/>
  </si>
  <si>
    <t>DiseaseOutbreak</t>
    <phoneticPr fontId="18" type="noConversion"/>
  </si>
  <si>
    <t>DiseaseUnderControl</t>
    <phoneticPr fontId="18" type="noConversion"/>
  </si>
  <si>
    <t>DiseaseContained</t>
    <phoneticPr fontId="18" type="noConversion"/>
  </si>
  <si>
    <t>PoorHarvest</t>
    <phoneticPr fontId="18" type="noConversion"/>
  </si>
  <si>
    <t>흉작으로 인해 식량 부족 위기라는 보도입니다.</t>
    <phoneticPr fontId="18" type="noConversion"/>
  </si>
  <si>
    <t>GoodHarvest</t>
    <phoneticPr fontId="18" type="noConversion"/>
  </si>
  <si>
    <t>풍작으로 인해 시장에 식량이 많이 모였습니다.</t>
    <phoneticPr fontId="18" type="noConversion"/>
  </si>
  <si>
    <t>AgriculturalStrike</t>
    <phoneticPr fontId="18" type="noConversion"/>
  </si>
  <si>
    <t>농업 단체에서 집단 파업이 발생했습니다.</t>
    <phoneticPr fontId="18" type="noConversion"/>
  </si>
  <si>
    <t>GovernmentSupport</t>
    <phoneticPr fontId="18" type="noConversion"/>
  </si>
  <si>
    <t>정부에서 농업 단체의 요구를 들어줄 것을 약속했습니다.</t>
    <phoneticPr fontId="18" type="noConversion"/>
  </si>
  <si>
    <t>HealthTrend</t>
    <phoneticPr fontId="18" type="noConversion"/>
  </si>
  <si>
    <t>FoodSafetyInvestigation</t>
  </si>
  <si>
    <t>ClearedOfSuspiction</t>
    <phoneticPr fontId="18" type="noConversion"/>
  </si>
  <si>
    <t>FestivalSeason</t>
    <phoneticPr fontId="18" type="noConversion"/>
  </si>
  <si>
    <t>HarvestDrive</t>
    <phoneticPr fontId="18" type="noConversion"/>
  </si>
  <si>
    <t>CauseUnderInvestigation</t>
    <phoneticPr fontId="18" type="noConversion"/>
  </si>
  <si>
    <t>DemandIExplosion</t>
    <phoneticPr fontId="18" type="noConversion"/>
  </si>
  <si>
    <t>DemandCrash</t>
    <phoneticPr fontId="18" type="noConversion"/>
  </si>
  <si>
    <t>PurchaseCost</t>
    <phoneticPr fontId="19" type="noConversion"/>
  </si>
  <si>
    <t>UpgradeType</t>
    <phoneticPr fontId="19" type="noConversion"/>
  </si>
  <si>
    <t>UpgradeCost</t>
    <phoneticPr fontId="19" type="noConversion"/>
  </si>
  <si>
    <t>Value</t>
    <phoneticPr fontId="19" type="noConversion"/>
  </si>
  <si>
    <t>Speed</t>
    <phoneticPr fontId="19" type="noConversion"/>
  </si>
  <si>
    <t>Efficiency</t>
    <phoneticPr fontId="19" type="noConversion"/>
  </si>
  <si>
    <t>Model</t>
    <phoneticPr fontId="19" type="noConversion"/>
  </si>
  <si>
    <t>Player</t>
    <phoneticPr fontId="19" type="noConversion"/>
  </si>
  <si>
    <t>Prototype</t>
    <phoneticPr fontId="18" type="noConversion"/>
  </si>
  <si>
    <t>Alpha</t>
    <phoneticPr fontId="18" type="noConversion"/>
  </si>
  <si>
    <t>Level</t>
    <phoneticPr fontId="19" type="noConversion"/>
  </si>
  <si>
    <t>UpgradeID</t>
    <phoneticPr fontId="18" type="noConversion"/>
  </si>
  <si>
    <t>Storage</t>
    <phoneticPr fontId="18" type="noConversion"/>
  </si>
  <si>
    <t>BuildingKit</t>
    <phoneticPr fontId="18" type="noConversion"/>
  </si>
  <si>
    <t>Barn</t>
    <phoneticPr fontId="18" type="noConversion"/>
  </si>
  <si>
    <t>MainInv</t>
    <phoneticPr fontId="19" type="noConversion"/>
  </si>
  <si>
    <t>SubInv</t>
    <phoneticPr fontId="19" type="noConversion"/>
  </si>
  <si>
    <t>UpgPerk</t>
    <phoneticPr fontId="18" type="noConversion"/>
  </si>
  <si>
    <t>MainInvLv1</t>
    <phoneticPr fontId="18" type="noConversion"/>
  </si>
  <si>
    <t>SubInvLv1</t>
    <phoneticPr fontId="18" type="noConversion"/>
  </si>
  <si>
    <t>SpeedLv1</t>
    <phoneticPr fontId="18" type="noConversion"/>
  </si>
  <si>
    <t>EfficLv1</t>
    <phoneticPr fontId="18" type="noConversion"/>
  </si>
  <si>
    <t>MainInvLv2</t>
    <phoneticPr fontId="18" type="noConversion"/>
  </si>
  <si>
    <t>SubInvLv2</t>
    <phoneticPr fontId="18" type="noConversion"/>
  </si>
  <si>
    <t>SpeedLv2</t>
    <phoneticPr fontId="18" type="noConversion"/>
  </si>
  <si>
    <t>EfficLv2</t>
    <phoneticPr fontId="18" type="noConversion"/>
  </si>
  <si>
    <t>CornSeed</t>
    <phoneticPr fontId="18" type="noConversion"/>
  </si>
  <si>
    <t>PotatoSeed</t>
    <phoneticPr fontId="18" type="noConversion"/>
  </si>
  <si>
    <t>CarrotSeed</t>
    <phoneticPr fontId="18" type="noConversion"/>
  </si>
  <si>
    <t>OnionSeed</t>
    <phoneticPr fontId="18" type="noConversion"/>
  </si>
  <si>
    <t>StrawberrySeed</t>
    <phoneticPr fontId="18" type="noConversion"/>
  </si>
  <si>
    <t>BlueBerrySeed</t>
    <phoneticPr fontId="18" type="noConversion"/>
  </si>
  <si>
    <t>MinYield</t>
    <phoneticPr fontId="18" type="noConversion"/>
  </si>
  <si>
    <t>MaxYield</t>
    <phoneticPr fontId="18" type="noConversion"/>
  </si>
  <si>
    <t>BasicPrice</t>
    <phoneticPr fontId="18" type="noConversion"/>
  </si>
  <si>
    <t>BasicPrice</t>
    <phoneticPr fontId="18" type="noConversion"/>
  </si>
  <si>
    <t>Type</t>
    <phoneticPr fontId="18" type="noConversion"/>
  </si>
  <si>
    <t>Description</t>
    <phoneticPr fontId="18" type="noConversion"/>
  </si>
  <si>
    <t>Column</t>
    <phoneticPr fontId="18" type="noConversion"/>
  </si>
  <si>
    <t>아이템 일련번호</t>
    <phoneticPr fontId="18" type="noConversion"/>
  </si>
  <si>
    <t>아이템 이름</t>
    <phoneticPr fontId="18" type="noConversion"/>
  </si>
  <si>
    <t>int</t>
    <phoneticPr fontId="18" type="noConversion"/>
  </si>
  <si>
    <t>string</t>
    <phoneticPr fontId="18" type="noConversion"/>
  </si>
  <si>
    <t>아이템 기준 가격, 원가</t>
    <phoneticPr fontId="18" type="noConversion"/>
  </si>
  <si>
    <t>한 슬롯에 쌓을 수 있는 최대 아이템 수량</t>
    <phoneticPr fontId="18" type="noConversion"/>
  </si>
  <si>
    <t>아이템 보관 기간(일 단위, -1은 영구 보관)</t>
    <phoneticPr fontId="18" type="noConversion"/>
  </si>
  <si>
    <t>아이템 분류 타입(Seed, Product, Kit 등)</t>
    <phoneticPr fontId="18" type="noConversion"/>
  </si>
  <si>
    <t>{ItemName}의 수요가 일시적으로 증가한 것으로 보입니다.</t>
    <phoneticPr fontId="18" type="noConversion"/>
  </si>
  <si>
    <t>{ItemName}의 수요가 일시적으로 감소한 것으로 보입니다.</t>
    <phoneticPr fontId="18" type="noConversion"/>
  </si>
  <si>
    <t>{ItemName}의 수요가 급격히 증가했습니다.</t>
    <phoneticPr fontId="18" type="noConversion"/>
  </si>
  <si>
    <t>{ItemName}의 수요가 급격히 감소했습니다.</t>
    <phoneticPr fontId="18" type="noConversion"/>
  </si>
  <si>
    <t>폭발적인 반응과 함께 {ItemName}의 수요도 폭발하고 있습니다.</t>
    <phoneticPr fontId="18" type="noConversion"/>
  </si>
  <si>
    <t>무슨 일인지 {ItemName}의 수요가 폭락하였습니다.</t>
    <phoneticPr fontId="18" type="noConversion"/>
  </si>
  <si>
    <t>아가레아산 {ItemName}에서 발견되었다는 병원균에 대한 연구가 꾸준히 이루어지고 있습니다.</t>
    <phoneticPr fontId="18" type="noConversion"/>
  </si>
  <si>
    <t>드디어 {ItemName}의 병원균 백신 개발이 성공적으로 이루어졌습니다.</t>
    <phoneticPr fontId="18" type="noConversion"/>
  </si>
  <si>
    <t>식품 연구소에서 온 보도인데요, 유해할 수 있는 병원균이 아가레아산 {ItemName}에서 발견되었다는 소식 입니다.</t>
    <phoneticPr fontId="18" type="noConversion"/>
  </si>
  <si>
    <t>{ItemName}을(를) 섭취한 사람들로부터 체질 개선이 되었다는 소식입니다.</t>
    <phoneticPr fontId="18" type="noConversion"/>
  </si>
  <si>
    <t>지난 주에 사망한 A씨의 사인에 그가 구매했던 {ItemName}이 주된 원인이라는 의혹이 나오고 있습니다.</t>
    <phoneticPr fontId="18" type="noConversion"/>
  </si>
  <si>
    <t>A씨의 사인에 대한 원인 분석이 지연되고 있습니다. 그에 따라 {ItemName}의 가격도 지속적으로 하락하고 있습니다.</t>
    <phoneticPr fontId="18" type="noConversion"/>
  </si>
  <si>
    <t>{ItemName} 축제로 인해 수요가 증가하고 있습니다.</t>
    <phoneticPr fontId="18" type="noConversion"/>
  </si>
  <si>
    <t>청년들의 지원 사업으로 {ItemName}의 생산량이 크게 증가했습니다.</t>
    <phoneticPr fontId="18" type="noConversion"/>
  </si>
  <si>
    <t>다행히도 {ItemName}은(는) A씨의 사인에 직접적인 영향을 끼치진 않았습니다.</t>
    <phoneticPr fontId="18" type="noConversion"/>
  </si>
  <si>
    <t>float</t>
    <phoneticPr fontId="18" type="noConversion"/>
  </si>
  <si>
    <t>아이템 분류 타입</t>
    <phoneticPr fontId="18" type="noConversion"/>
  </si>
  <si>
    <t>가격 변동 표준편차</t>
    <phoneticPr fontId="18" type="noConversion"/>
  </si>
  <si>
    <t>원가</t>
    <phoneticPr fontId="18" type="noConversion"/>
  </si>
  <si>
    <t>성장 시간</t>
    <phoneticPr fontId="18" type="noConversion"/>
  </si>
  <si>
    <t>최대 수확량</t>
    <phoneticPr fontId="18" type="noConversion"/>
  </si>
  <si>
    <t>최소 수확량</t>
    <phoneticPr fontId="18" type="noConversion"/>
  </si>
  <si>
    <t>수분 소모량</t>
    <phoneticPr fontId="18" type="noConversion"/>
  </si>
  <si>
    <t>enum</t>
    <phoneticPr fontId="18" type="noConversion"/>
  </si>
  <si>
    <t>Water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</si>
</sst>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3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33" borderId="0" xfId="0" applyFill="1" applyAlignment="1">
      <alignment horizontal="center"/>
    </xf>
    <xf numFmtId="0" fontId="0" fillId="33" borderId="0" xfId="0" applyFill="1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24">
    <dxf>
      <fill>
        <patternFill>
          <bgColor theme="7" tint="0.59996337778862885"/>
        </patternFill>
      </fill>
    </dxf>
    <dxf>
      <fill>
        <patternFill>
          <bgColor rgb="FFFFC000"/>
        </patternFill>
      </fill>
    </dxf>
    <dxf>
      <fill>
        <patternFill>
          <bgColor theme="8" tint="0.59996337778862885"/>
        </patternFill>
      </fill>
    </dxf>
    <dxf>
      <fill>
        <patternFill>
          <bgColor rgb="FF0070C0"/>
        </patternFill>
      </fill>
    </dxf>
    <dxf>
      <fill>
        <patternFill>
          <bgColor theme="9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C000"/>
        </patternFill>
      </fill>
    </dxf>
    <dxf>
      <fill>
        <patternFill>
          <bgColor theme="8" tint="0.59996337778862885"/>
        </patternFill>
      </fill>
    </dxf>
    <dxf>
      <fill>
        <patternFill>
          <bgColor rgb="FF0070C0"/>
        </patternFill>
      </fill>
    </dxf>
    <dxf>
      <fill>
        <patternFill>
          <bgColor theme="9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C000"/>
        </patternFill>
      </fill>
    </dxf>
    <dxf>
      <fill>
        <patternFill>
          <bgColor theme="8" tint="0.59996337778862885"/>
        </patternFill>
      </fill>
    </dxf>
    <dxf>
      <fill>
        <patternFill>
          <bgColor rgb="FF0070C0"/>
        </patternFill>
      </fill>
    </dxf>
    <dxf>
      <fill>
        <patternFill>
          <bgColor theme="9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35F4D-6333-4BEC-B869-C3B1C6B3F47D}">
  <dimension ref="A1:F26"/>
  <sheetViews>
    <sheetView workbookViewId="0">
      <selection activeCell="H9" sqref="H9"/>
    </sheetView>
  </sheetViews>
  <sheetFormatPr defaultRowHeight="16.5" x14ac:dyDescent="0.3"/>
  <cols>
    <col min="1" max="1" width="7.125" style="2" bestFit="1" customWidth="1"/>
    <col min="2" max="2" width="15" style="2" bestFit="1" customWidth="1"/>
    <col min="3" max="4" width="11" style="2" bestFit="1" customWidth="1"/>
    <col min="5" max="5" width="12.125" style="2" bestFit="1" customWidth="1"/>
    <col min="6" max="6" width="14.625" style="2" bestFit="1" customWidth="1"/>
    <col min="7" max="7" width="18.875" style="2" bestFit="1" customWidth="1"/>
    <col min="8" max="8" width="13.875" style="2" bestFit="1" customWidth="1"/>
    <col min="9" max="16384" width="9" style="2"/>
  </cols>
  <sheetData>
    <row r="1" spans="1:6" s="1" customFormat="1" x14ac:dyDescent="0.3">
      <c r="A1" s="1" t="s">
        <v>0</v>
      </c>
      <c r="B1" s="1" t="s">
        <v>1</v>
      </c>
      <c r="C1" s="1" t="s">
        <v>12</v>
      </c>
      <c r="D1" s="1" t="s">
        <v>82</v>
      </c>
      <c r="E1" s="1" t="s">
        <v>17</v>
      </c>
      <c r="F1" s="1" t="s">
        <v>18</v>
      </c>
    </row>
    <row r="2" spans="1:6" x14ac:dyDescent="0.3">
      <c r="A2" s="2">
        <v>1001</v>
      </c>
      <c r="B2" s="2" t="s">
        <v>119</v>
      </c>
      <c r="C2" s="2" t="s">
        <v>119</v>
      </c>
      <c r="D2" s="2">
        <v>0</v>
      </c>
      <c r="E2" s="2">
        <v>100</v>
      </c>
      <c r="F2" s="2">
        <v>-1</v>
      </c>
    </row>
    <row r="3" spans="1:6" x14ac:dyDescent="0.3">
      <c r="A3" s="2">
        <v>1011</v>
      </c>
      <c r="B3" s="2" t="s">
        <v>74</v>
      </c>
      <c r="C3" s="2" t="s">
        <v>13</v>
      </c>
      <c r="D3" s="2">
        <f>D4*80/100</f>
        <v>800</v>
      </c>
      <c r="E3" s="2">
        <v>200</v>
      </c>
      <c r="F3" s="2">
        <v>-1</v>
      </c>
    </row>
    <row r="4" spans="1:6" x14ac:dyDescent="0.3">
      <c r="A4" s="2">
        <v>1012</v>
      </c>
      <c r="B4" s="2" t="s">
        <v>9</v>
      </c>
      <c r="C4" s="2" t="s">
        <v>14</v>
      </c>
      <c r="D4" s="2">
        <v>1000</v>
      </c>
      <c r="E4" s="2">
        <v>50</v>
      </c>
      <c r="F4" s="2">
        <v>30</v>
      </c>
    </row>
    <row r="5" spans="1:6" x14ac:dyDescent="0.3">
      <c r="A5" s="2">
        <v>1021</v>
      </c>
      <c r="B5" s="2" t="s">
        <v>75</v>
      </c>
      <c r="C5" s="2" t="s">
        <v>13</v>
      </c>
      <c r="D5" s="2">
        <f>D6*80/100</f>
        <v>720</v>
      </c>
      <c r="E5" s="2">
        <v>200</v>
      </c>
      <c r="F5" s="2">
        <v>-1</v>
      </c>
    </row>
    <row r="6" spans="1:6" x14ac:dyDescent="0.3">
      <c r="A6" s="2">
        <v>1022</v>
      </c>
      <c r="B6" s="2" t="s">
        <v>5</v>
      </c>
      <c r="C6" s="2" t="s">
        <v>14</v>
      </c>
      <c r="D6" s="2">
        <v>900</v>
      </c>
      <c r="E6" s="2">
        <v>50</v>
      </c>
      <c r="F6" s="2">
        <v>30</v>
      </c>
    </row>
    <row r="7" spans="1:6" x14ac:dyDescent="0.3">
      <c r="A7" s="2">
        <v>2011</v>
      </c>
      <c r="B7" s="2" t="s">
        <v>76</v>
      </c>
      <c r="C7" s="2" t="s">
        <v>13</v>
      </c>
      <c r="D7" s="2">
        <f>D8*80/100</f>
        <v>800</v>
      </c>
      <c r="E7" s="2">
        <v>200</v>
      </c>
      <c r="F7" s="2">
        <v>-1</v>
      </c>
    </row>
    <row r="8" spans="1:6" x14ac:dyDescent="0.3">
      <c r="A8" s="2">
        <v>2012</v>
      </c>
      <c r="B8" s="2" t="s">
        <v>6</v>
      </c>
      <c r="C8" s="2" t="s">
        <v>14</v>
      </c>
      <c r="D8" s="2">
        <v>1000</v>
      </c>
      <c r="E8" s="2">
        <v>50</v>
      </c>
      <c r="F8" s="2">
        <v>20</v>
      </c>
    </row>
    <row r="9" spans="1:6" x14ac:dyDescent="0.3">
      <c r="A9" s="2">
        <v>2021</v>
      </c>
      <c r="B9" s="2" t="s">
        <v>77</v>
      </c>
      <c r="C9" s="2" t="s">
        <v>13</v>
      </c>
      <c r="D9" s="2">
        <f>D10*80/100</f>
        <v>880</v>
      </c>
      <c r="E9" s="2">
        <v>200</v>
      </c>
      <c r="F9" s="2">
        <v>-1</v>
      </c>
    </row>
    <row r="10" spans="1:6" x14ac:dyDescent="0.3">
      <c r="A10" s="2">
        <v>2022</v>
      </c>
      <c r="B10" s="2" t="s">
        <v>10</v>
      </c>
      <c r="C10" s="2" t="s">
        <v>14</v>
      </c>
      <c r="D10" s="2">
        <v>1100</v>
      </c>
      <c r="E10" s="2">
        <v>50</v>
      </c>
      <c r="F10" s="2">
        <v>20</v>
      </c>
    </row>
    <row r="11" spans="1:6" x14ac:dyDescent="0.3">
      <c r="A11" s="2">
        <v>3011</v>
      </c>
      <c r="B11" s="2" t="s">
        <v>78</v>
      </c>
      <c r="C11" s="2" t="s">
        <v>13</v>
      </c>
      <c r="D11" s="2">
        <f>D12*80/100</f>
        <v>960</v>
      </c>
      <c r="E11" s="2">
        <v>200</v>
      </c>
      <c r="F11" s="2">
        <v>-1</v>
      </c>
    </row>
    <row r="12" spans="1:6" x14ac:dyDescent="0.3">
      <c r="A12" s="2">
        <v>3012</v>
      </c>
      <c r="B12" s="2" t="s">
        <v>7</v>
      </c>
      <c r="C12" s="2" t="s">
        <v>14</v>
      </c>
      <c r="D12" s="2">
        <v>1200</v>
      </c>
      <c r="E12" s="2">
        <v>50</v>
      </c>
      <c r="F12" s="2">
        <v>15</v>
      </c>
    </row>
    <row r="13" spans="1:6" x14ac:dyDescent="0.3">
      <c r="A13" s="2">
        <v>3021</v>
      </c>
      <c r="B13" s="2" t="s">
        <v>79</v>
      </c>
      <c r="C13" s="2" t="s">
        <v>13</v>
      </c>
      <c r="D13" s="2">
        <f>D14*80/100</f>
        <v>880</v>
      </c>
      <c r="E13" s="2">
        <v>200</v>
      </c>
      <c r="F13" s="2">
        <v>-1</v>
      </c>
    </row>
    <row r="14" spans="1:6" x14ac:dyDescent="0.3">
      <c r="A14" s="2">
        <v>3022</v>
      </c>
      <c r="B14" s="2" t="s">
        <v>11</v>
      </c>
      <c r="C14" s="2" t="s">
        <v>14</v>
      </c>
      <c r="D14" s="2">
        <v>1100</v>
      </c>
      <c r="E14" s="2">
        <v>50</v>
      </c>
      <c r="F14" s="2">
        <v>15</v>
      </c>
    </row>
    <row r="15" spans="1:6" x14ac:dyDescent="0.3">
      <c r="A15" s="2">
        <v>4011</v>
      </c>
      <c r="B15" s="2" t="s">
        <v>15</v>
      </c>
      <c r="C15" s="2" t="s">
        <v>16</v>
      </c>
      <c r="D15" s="2">
        <f>D16*80/100</f>
        <v>1600</v>
      </c>
      <c r="E15" s="2">
        <v>10</v>
      </c>
      <c r="F15" s="2">
        <v>-1</v>
      </c>
    </row>
    <row r="16" spans="1:6" x14ac:dyDescent="0.3">
      <c r="A16" s="2">
        <v>4012</v>
      </c>
      <c r="B16" s="2" t="s">
        <v>8</v>
      </c>
      <c r="C16" s="2" t="s">
        <v>14</v>
      </c>
      <c r="D16" s="2">
        <v>2000</v>
      </c>
      <c r="E16" s="2">
        <v>1</v>
      </c>
      <c r="F16" s="2">
        <v>3</v>
      </c>
    </row>
    <row r="17" spans="1:6" x14ac:dyDescent="0.3">
      <c r="A17" s="2">
        <v>8011</v>
      </c>
      <c r="B17" s="2" t="s">
        <v>66</v>
      </c>
      <c r="C17" s="2" t="s">
        <v>65</v>
      </c>
      <c r="D17" s="2">
        <v>10000</v>
      </c>
      <c r="E17" s="2">
        <v>1</v>
      </c>
      <c r="F17" s="2">
        <v>-1</v>
      </c>
    </row>
    <row r="18" spans="1:6" x14ac:dyDescent="0.3">
      <c r="A18" s="2">
        <v>8012</v>
      </c>
      <c r="B18" s="2" t="s">
        <v>70</v>
      </c>
      <c r="C18" s="2" t="s">
        <v>65</v>
      </c>
      <c r="D18" s="2">
        <v>20000</v>
      </c>
      <c r="E18" s="2">
        <v>1</v>
      </c>
      <c r="F18" s="2">
        <v>-1</v>
      </c>
    </row>
    <row r="19" spans="1:6" x14ac:dyDescent="0.3">
      <c r="A19" s="2">
        <v>8021</v>
      </c>
      <c r="B19" s="2" t="s">
        <v>67</v>
      </c>
      <c r="C19" s="2" t="s">
        <v>65</v>
      </c>
      <c r="D19" s="2">
        <v>10000</v>
      </c>
      <c r="E19" s="2">
        <v>1</v>
      </c>
      <c r="F19" s="2">
        <v>-1</v>
      </c>
    </row>
    <row r="20" spans="1:6" x14ac:dyDescent="0.3">
      <c r="A20" s="2">
        <v>8022</v>
      </c>
      <c r="B20" s="2" t="s">
        <v>71</v>
      </c>
      <c r="C20" s="2" t="s">
        <v>65</v>
      </c>
      <c r="D20" s="2">
        <v>20000</v>
      </c>
      <c r="E20" s="2">
        <v>1</v>
      </c>
      <c r="F20" s="2">
        <v>-1</v>
      </c>
    </row>
    <row r="21" spans="1:6" x14ac:dyDescent="0.3">
      <c r="A21" s="2">
        <v>8031</v>
      </c>
      <c r="B21" s="2" t="s">
        <v>68</v>
      </c>
      <c r="C21" s="2" t="s">
        <v>65</v>
      </c>
      <c r="D21" s="2">
        <v>10000</v>
      </c>
      <c r="E21" s="2">
        <v>1</v>
      </c>
      <c r="F21" s="2">
        <v>-1</v>
      </c>
    </row>
    <row r="22" spans="1:6" x14ac:dyDescent="0.3">
      <c r="A22" s="2">
        <v>8032</v>
      </c>
      <c r="B22" s="2" t="s">
        <v>72</v>
      </c>
      <c r="C22" s="2" t="s">
        <v>65</v>
      </c>
      <c r="D22" s="2">
        <v>20000</v>
      </c>
      <c r="E22" s="2">
        <v>1</v>
      </c>
      <c r="F22" s="2">
        <v>-1</v>
      </c>
    </row>
    <row r="23" spans="1:6" x14ac:dyDescent="0.3">
      <c r="A23" s="2">
        <v>8041</v>
      </c>
      <c r="B23" s="2" t="s">
        <v>69</v>
      </c>
      <c r="C23" s="2" t="s">
        <v>65</v>
      </c>
      <c r="D23" s="2">
        <v>10000</v>
      </c>
      <c r="E23" s="2">
        <v>1</v>
      </c>
      <c r="F23" s="2">
        <v>-1</v>
      </c>
    </row>
    <row r="24" spans="1:6" x14ac:dyDescent="0.3">
      <c r="A24" s="2">
        <v>8042</v>
      </c>
      <c r="B24" s="2" t="s">
        <v>73</v>
      </c>
      <c r="C24" s="2" t="s">
        <v>65</v>
      </c>
      <c r="D24" s="2">
        <v>20000</v>
      </c>
      <c r="E24" s="2">
        <v>1</v>
      </c>
      <c r="F24" s="2">
        <v>-1</v>
      </c>
    </row>
    <row r="25" spans="1:6" x14ac:dyDescent="0.3">
      <c r="A25" s="2">
        <v>9011</v>
      </c>
      <c r="B25" s="2" t="s">
        <v>60</v>
      </c>
      <c r="C25" s="2" t="s">
        <v>61</v>
      </c>
      <c r="D25" s="2">
        <v>50000</v>
      </c>
      <c r="E25" s="2">
        <v>1</v>
      </c>
      <c r="F25" s="2">
        <v>-1</v>
      </c>
    </row>
    <row r="26" spans="1:6" x14ac:dyDescent="0.3">
      <c r="A26" s="2">
        <v>9021</v>
      </c>
      <c r="B26" s="2" t="s">
        <v>62</v>
      </c>
      <c r="C26" s="2" t="s">
        <v>61</v>
      </c>
      <c r="D26" s="2">
        <v>50000</v>
      </c>
      <c r="E26" s="2">
        <v>1</v>
      </c>
      <c r="F26" s="2">
        <v>-1</v>
      </c>
    </row>
  </sheetData>
  <sortState xmlns:xlrd2="http://schemas.microsoft.com/office/spreadsheetml/2017/richdata2" ref="A2:F26">
    <sortCondition ref="A2:A26"/>
  </sortState>
  <phoneticPr fontId="18" type="noConversion"/>
  <conditionalFormatting sqref="A1:A1048576">
    <cfRule type="expression" dxfId="11" priority="1">
      <formula>AND($A1 &gt;= 9000, $A1 &lt; 10000)</formula>
    </cfRule>
    <cfRule type="expression" dxfId="10" priority="2">
      <formula>AND($A1 &gt;=8000, $A1 &lt; 9000)</formula>
    </cfRule>
    <cfRule type="expression" dxfId="9" priority="3">
      <formula>AND($A1 &gt;= 4000, $A1 &lt; 5000)</formula>
    </cfRule>
    <cfRule type="expression" dxfId="8" priority="4">
      <formula>AND($A1 &gt;= 3000, $A1 &lt; 4000)</formula>
    </cfRule>
    <cfRule type="expression" dxfId="7" priority="5">
      <formula>AND($A1 &gt;= 2000, $A1 &lt; 3000)</formula>
    </cfRule>
    <cfRule type="expression" dxfId="6" priority="6">
      <formula>AND($A1 &gt;= 1000, $A1 &lt; 2000)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FCFD8-7062-4DFA-B86D-C27384DBCAB4}">
  <dimension ref="A1:C7"/>
  <sheetViews>
    <sheetView tabSelected="1" workbookViewId="0">
      <selection activeCell="F9" sqref="F9"/>
    </sheetView>
  </sheetViews>
  <sheetFormatPr defaultRowHeight="16.5" x14ac:dyDescent="0.3"/>
  <cols>
    <col min="1" max="1" width="13.875" style="2" bestFit="1" customWidth="1"/>
    <col min="2" max="2" width="39.625" style="2" bestFit="1" customWidth="1"/>
    <col min="3" max="3" width="9.25" style="2" bestFit="1" customWidth="1"/>
    <col min="4" max="4" width="9.875" style="2" bestFit="1" customWidth="1"/>
    <col min="5" max="5" width="6" style="2" bestFit="1" customWidth="1"/>
    <col min="6" max="6" width="13.875" style="2" bestFit="1" customWidth="1"/>
    <col min="7" max="16384" width="9" style="2"/>
  </cols>
  <sheetData>
    <row r="1" spans="1:3" s="1" customFormat="1" x14ac:dyDescent="0.3">
      <c r="A1" s="1" t="s">
        <v>86</v>
      </c>
      <c r="B1" s="1" t="s">
        <v>85</v>
      </c>
      <c r="C1" s="1" t="s">
        <v>84</v>
      </c>
    </row>
    <row r="2" spans="1:3" x14ac:dyDescent="0.3">
      <c r="A2" s="2" t="str" cm="1">
        <f t="array" ref="A2:A7">TRANSPOSE(ItemDataTable!A1:F1)</f>
        <v>ItemID</v>
      </c>
      <c r="B2" s="2" t="s">
        <v>87</v>
      </c>
      <c r="C2" s="2" t="s">
        <v>89</v>
      </c>
    </row>
    <row r="3" spans="1:3" x14ac:dyDescent="0.3">
      <c r="A3" s="2" t="str">
        <v>ItemName</v>
      </c>
      <c r="B3" s="2" t="s">
        <v>88</v>
      </c>
      <c r="C3" s="2" t="s">
        <v>90</v>
      </c>
    </row>
    <row r="4" spans="1:3" x14ac:dyDescent="0.3">
      <c r="A4" s="2" t="str">
        <v>ItemType</v>
      </c>
      <c r="B4" s="2" t="s">
        <v>94</v>
      </c>
      <c r="C4" s="2" t="s">
        <v>118</v>
      </c>
    </row>
    <row r="5" spans="1:3" x14ac:dyDescent="0.3">
      <c r="A5" s="2" t="str">
        <v>BasicPrice</v>
      </c>
      <c r="B5" s="2" t="s">
        <v>91</v>
      </c>
      <c r="C5" s="2" t="s">
        <v>89</v>
      </c>
    </row>
    <row r="6" spans="1:3" x14ac:dyDescent="0.3">
      <c r="A6" s="2" t="str">
        <v>Stack</v>
      </c>
      <c r="B6" s="2" t="s">
        <v>92</v>
      </c>
      <c r="C6" s="2" t="s">
        <v>89</v>
      </c>
    </row>
    <row r="7" spans="1:3" x14ac:dyDescent="0.3">
      <c r="A7" s="2" t="str">
        <v>StoragePeriod</v>
      </c>
      <c r="B7" s="2" t="s">
        <v>93</v>
      </c>
      <c r="C7" s="2" t="s">
        <v>110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862AF-9F9A-48F1-AC3A-75C77964B415}">
  <dimension ref="A1:I8"/>
  <sheetViews>
    <sheetView workbookViewId="0">
      <selection activeCell="B1" sqref="B1"/>
    </sheetView>
  </sheetViews>
  <sheetFormatPr defaultRowHeight="16.5" x14ac:dyDescent="0.3"/>
  <cols>
    <col min="1" max="1" width="7.125" style="2" bestFit="1" customWidth="1"/>
    <col min="2" max="2" width="10.375" style="2" bestFit="1" customWidth="1"/>
    <col min="3" max="3" width="9.25" style="2" bestFit="1" customWidth="1"/>
    <col min="4" max="4" width="11.75" style="2" bestFit="1" customWidth="1"/>
    <col min="5" max="5" width="9.5" style="2" bestFit="1" customWidth="1"/>
    <col min="6" max="6" width="12.125" style="2" bestFit="1" customWidth="1"/>
    <col min="7" max="7" width="9.25" style="2" bestFit="1" customWidth="1"/>
    <col min="8" max="8" width="9" style="2" bestFit="1" customWidth="1"/>
    <col min="9" max="9" width="18.875" style="2" bestFit="1" customWidth="1"/>
    <col min="10" max="16384" width="9" style="2"/>
  </cols>
  <sheetData>
    <row r="1" spans="1:9" s="1" customFormat="1" x14ac:dyDescent="0.3">
      <c r="A1" s="1" t="s">
        <v>0</v>
      </c>
      <c r="B1" s="1" t="s">
        <v>1</v>
      </c>
      <c r="C1" s="1" t="s">
        <v>19</v>
      </c>
      <c r="D1" s="1" t="s">
        <v>2</v>
      </c>
      <c r="E1" s="1" t="s">
        <v>83</v>
      </c>
      <c r="F1" s="1" t="s">
        <v>3</v>
      </c>
      <c r="G1" s="1" t="s">
        <v>81</v>
      </c>
      <c r="H1" s="1" t="s">
        <v>80</v>
      </c>
      <c r="I1" s="1" t="s">
        <v>4</v>
      </c>
    </row>
    <row r="2" spans="1:9" x14ac:dyDescent="0.3">
      <c r="A2" s="2">
        <v>1012</v>
      </c>
      <c r="B2" s="2" t="str">
        <f>VLOOKUP(A2, ItemDataTable!A:B, 2, FALSE)</f>
        <v>Corn</v>
      </c>
      <c r="C2" s="2" t="str">
        <f>VLOOKUP(A2, ItemDataTable!A:C,3,FALSE)</f>
        <v>Product</v>
      </c>
      <c r="D2" s="2">
        <v>0.02</v>
      </c>
      <c r="E2" s="2">
        <f>VLOOKUP(A2, ItemDataTable!A:D,4, FALSE)</f>
        <v>1000</v>
      </c>
      <c r="F2" s="2">
        <v>1</v>
      </c>
      <c r="G2" s="2">
        <v>1</v>
      </c>
      <c r="H2" s="2">
        <v>1</v>
      </c>
      <c r="I2" s="2">
        <v>5</v>
      </c>
    </row>
    <row r="3" spans="1:9" x14ac:dyDescent="0.3">
      <c r="A3" s="2">
        <v>1022</v>
      </c>
      <c r="B3" s="2" t="str">
        <f>VLOOKUP(A3, ItemDataTable!A:B, 2, FALSE)</f>
        <v>Potato</v>
      </c>
      <c r="C3" s="2" t="str">
        <f>VLOOKUP(A3, ItemDataTable!A:C,3,FALSE)</f>
        <v>Product</v>
      </c>
      <c r="D3" s="2">
        <v>0.01</v>
      </c>
      <c r="E3" s="2">
        <f>VLOOKUP(A3, ItemDataTable!A:D,4, FALSE)</f>
        <v>900</v>
      </c>
      <c r="F3" s="2">
        <v>2</v>
      </c>
      <c r="G3" s="2">
        <v>1</v>
      </c>
      <c r="H3" s="2">
        <v>1</v>
      </c>
      <c r="I3" s="2">
        <v>5</v>
      </c>
    </row>
    <row r="4" spans="1:9" x14ac:dyDescent="0.3">
      <c r="A4" s="2">
        <v>2012</v>
      </c>
      <c r="B4" s="2" t="str">
        <f>VLOOKUP(A4, ItemDataTable!A:B, 2, FALSE)</f>
        <v>Carrot</v>
      </c>
      <c r="C4" s="2" t="str">
        <f>VLOOKUP(A4, ItemDataTable!A:C,3,FALSE)</f>
        <v>Product</v>
      </c>
      <c r="D4" s="2">
        <v>0.04</v>
      </c>
      <c r="E4" s="2">
        <f>VLOOKUP(A4, ItemDataTable!A:D,4, FALSE)</f>
        <v>1000</v>
      </c>
      <c r="F4" s="2">
        <v>1</v>
      </c>
      <c r="G4" s="2">
        <v>1</v>
      </c>
      <c r="H4" s="2">
        <v>1</v>
      </c>
      <c r="I4" s="2">
        <v>5</v>
      </c>
    </row>
    <row r="5" spans="1:9" x14ac:dyDescent="0.3">
      <c r="A5" s="2">
        <v>2022</v>
      </c>
      <c r="B5" s="2" t="str">
        <f>VLOOKUP(A5, ItemDataTable!A:B, 2, FALSE)</f>
        <v>Onion</v>
      </c>
      <c r="C5" s="2" t="str">
        <f>VLOOKUP(A5, ItemDataTable!A:C,3,FALSE)</f>
        <v>Product</v>
      </c>
      <c r="D5" s="2">
        <v>0.05</v>
      </c>
      <c r="E5" s="2">
        <f>VLOOKUP(A5, ItemDataTable!A:D,4, FALSE)</f>
        <v>1100</v>
      </c>
      <c r="F5" s="2">
        <v>2</v>
      </c>
      <c r="G5" s="2">
        <v>1</v>
      </c>
      <c r="H5" s="2">
        <v>1</v>
      </c>
      <c r="I5" s="2">
        <v>5</v>
      </c>
    </row>
    <row r="6" spans="1:9" x14ac:dyDescent="0.3">
      <c r="A6" s="2">
        <v>3012</v>
      </c>
      <c r="B6" s="2" t="str">
        <f>VLOOKUP(A6, ItemDataTable!A:B, 2, FALSE)</f>
        <v>Strawberry</v>
      </c>
      <c r="C6" s="2" t="str">
        <f>VLOOKUP(A6, ItemDataTable!A:C,3,FALSE)</f>
        <v>Product</v>
      </c>
      <c r="D6" s="2">
        <v>0.08</v>
      </c>
      <c r="E6" s="2">
        <f>VLOOKUP(A6, ItemDataTable!A:D,4, FALSE)</f>
        <v>1200</v>
      </c>
      <c r="F6" s="2">
        <v>1</v>
      </c>
      <c r="G6" s="2">
        <v>1</v>
      </c>
      <c r="H6" s="2">
        <v>1</v>
      </c>
      <c r="I6" s="2">
        <v>5</v>
      </c>
    </row>
    <row r="7" spans="1:9" x14ac:dyDescent="0.3">
      <c r="A7" s="2">
        <v>3022</v>
      </c>
      <c r="B7" s="2" t="str">
        <f>VLOOKUP(A7, ItemDataTable!A:B, 2, FALSE)</f>
        <v>BlueBerry</v>
      </c>
      <c r="C7" s="2" t="str">
        <f>VLOOKUP(A7, ItemDataTable!A:C,3,FALSE)</f>
        <v>Product</v>
      </c>
      <c r="D7" s="2">
        <v>7.0000000000000007E-2</v>
      </c>
      <c r="E7" s="2">
        <f>VLOOKUP(A7, ItemDataTable!A:D,4, FALSE)</f>
        <v>1100</v>
      </c>
      <c r="F7" s="2">
        <v>2</v>
      </c>
      <c r="G7" s="2">
        <v>1</v>
      </c>
      <c r="H7" s="2">
        <v>1</v>
      </c>
      <c r="I7" s="2">
        <v>5</v>
      </c>
    </row>
    <row r="8" spans="1:9" x14ac:dyDescent="0.3">
      <c r="A8" s="2">
        <v>4012</v>
      </c>
      <c r="B8" s="2" t="str">
        <f>VLOOKUP(A8, ItemDataTable!A:B, 2, FALSE)</f>
        <v>Milk</v>
      </c>
      <c r="C8" s="2" t="str">
        <f>VLOOKUP(A8, ItemDataTable!A:C,3,FALSE)</f>
        <v>Product</v>
      </c>
      <c r="D8" s="2">
        <v>0.1</v>
      </c>
      <c r="E8" s="2">
        <f>VLOOKUP(A8, ItemDataTable!A:D,4, FALSE)</f>
        <v>2000</v>
      </c>
      <c r="F8" s="2">
        <v>1</v>
      </c>
      <c r="G8" s="2">
        <v>1</v>
      </c>
      <c r="H8" s="2">
        <v>1</v>
      </c>
      <c r="I8" s="2">
        <v>5</v>
      </c>
    </row>
  </sheetData>
  <phoneticPr fontId="18" type="noConversion"/>
  <conditionalFormatting sqref="A1:A1048576">
    <cfRule type="expression" dxfId="23" priority="1">
      <formula>OR($C1="Seed",$C1="Material")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32395-F88D-430F-A64D-C09D9FD6DD70}">
  <dimension ref="A1:C10"/>
  <sheetViews>
    <sheetView workbookViewId="0">
      <selection activeCell="K10" sqref="K10"/>
    </sheetView>
  </sheetViews>
  <sheetFormatPr defaultRowHeight="16.5" x14ac:dyDescent="0.3"/>
  <cols>
    <col min="1" max="1" width="18.875" bestFit="1" customWidth="1"/>
    <col min="2" max="2" width="18.625" bestFit="1" customWidth="1"/>
    <col min="3" max="3" width="6.25" bestFit="1" customWidth="1"/>
  </cols>
  <sheetData>
    <row r="1" spans="1:3" s="5" customFormat="1" x14ac:dyDescent="0.3">
      <c r="A1" s="5" t="s">
        <v>86</v>
      </c>
      <c r="B1" s="5" t="s">
        <v>85</v>
      </c>
      <c r="C1" s="5" t="s">
        <v>84</v>
      </c>
    </row>
    <row r="2" spans="1:3" x14ac:dyDescent="0.3">
      <c r="A2" t="str" cm="1">
        <f t="array" ref="A2:A10">TRANSPOSE(ProductDataTable!A1:I1)</f>
        <v>ItemID</v>
      </c>
      <c r="B2" t="s">
        <v>87</v>
      </c>
      <c r="C2" t="s">
        <v>89</v>
      </c>
    </row>
    <row r="3" spans="1:3" x14ac:dyDescent="0.3">
      <c r="A3" t="str">
        <v>ItemName</v>
      </c>
      <c r="B3" t="s">
        <v>88</v>
      </c>
      <c r="C3" t="s">
        <v>90</v>
      </c>
    </row>
    <row r="4" spans="1:3" x14ac:dyDescent="0.3">
      <c r="A4" t="str">
        <v>ItemType</v>
      </c>
      <c r="B4" t="s">
        <v>111</v>
      </c>
      <c r="C4" t="s">
        <v>118</v>
      </c>
    </row>
    <row r="5" spans="1:3" x14ac:dyDescent="0.3">
      <c r="A5" t="str">
        <v>PriceStdDev</v>
      </c>
      <c r="B5" t="s">
        <v>112</v>
      </c>
      <c r="C5" t="s">
        <v>110</v>
      </c>
    </row>
    <row r="6" spans="1:3" x14ac:dyDescent="0.3">
      <c r="A6" t="str">
        <v>BasicPrice</v>
      </c>
      <c r="B6" t="s">
        <v>113</v>
      </c>
      <c r="C6" t="s">
        <v>89</v>
      </c>
    </row>
    <row r="7" spans="1:3" x14ac:dyDescent="0.3">
      <c r="A7" t="str">
        <v>GrowthTime</v>
      </c>
      <c r="B7" t="s">
        <v>114</v>
      </c>
      <c r="C7" t="s">
        <v>89</v>
      </c>
    </row>
    <row r="8" spans="1:3" x14ac:dyDescent="0.3">
      <c r="A8" t="str">
        <v>MaxYield</v>
      </c>
      <c r="B8" t="s">
        <v>115</v>
      </c>
      <c r="C8" t="s">
        <v>89</v>
      </c>
    </row>
    <row r="9" spans="1:3" x14ac:dyDescent="0.3">
      <c r="A9" t="str">
        <v>MinYield</v>
      </c>
      <c r="B9" t="s">
        <v>116</v>
      </c>
      <c r="C9" t="s">
        <v>89</v>
      </c>
    </row>
    <row r="10" spans="1:3" x14ac:dyDescent="0.3">
      <c r="A10" t="str">
        <v>WaterConsumption</v>
      </c>
      <c r="B10" t="s">
        <v>117</v>
      </c>
      <c r="C10" t="s">
        <v>89</v>
      </c>
    </row>
  </sheetData>
  <phoneticPr fontId="1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80EA1-F814-4A73-A11F-F66CD4A7D6E3}">
  <dimension ref="A1:E20"/>
  <sheetViews>
    <sheetView workbookViewId="0">
      <selection activeCell="F24" sqref="F24"/>
    </sheetView>
  </sheetViews>
  <sheetFormatPr defaultRowHeight="16.5" x14ac:dyDescent="0.3"/>
  <cols>
    <col min="1" max="1" width="8" style="2" bestFit="1" customWidth="1"/>
    <col min="2" max="2" width="24.125" style="2" bestFit="1" customWidth="1"/>
    <col min="3" max="4" width="9" style="2"/>
    <col min="5" max="5" width="106.125" style="2" bestFit="1" customWidth="1"/>
    <col min="6" max="16384" width="9" style="2"/>
  </cols>
  <sheetData>
    <row r="1" spans="1:5" s="1" customFormat="1" x14ac:dyDescent="0.3">
      <c r="A1" s="1" t="s">
        <v>20</v>
      </c>
      <c r="B1" s="1" t="s">
        <v>21</v>
      </c>
      <c r="C1" s="1" t="s">
        <v>22</v>
      </c>
      <c r="D1" s="1" t="s">
        <v>23</v>
      </c>
      <c r="E1" s="1" t="s">
        <v>24</v>
      </c>
    </row>
    <row r="2" spans="1:5" x14ac:dyDescent="0.3">
      <c r="A2" s="2">
        <v>101</v>
      </c>
      <c r="B2" s="2" t="s">
        <v>25</v>
      </c>
      <c r="C2" s="2">
        <v>0.01</v>
      </c>
      <c r="D2" s="2">
        <v>0</v>
      </c>
      <c r="E2" s="2" t="s">
        <v>95</v>
      </c>
    </row>
    <row r="3" spans="1:5" x14ac:dyDescent="0.3">
      <c r="A3" s="2">
        <v>102</v>
      </c>
      <c r="B3" s="2" t="s">
        <v>26</v>
      </c>
      <c r="C3" s="2">
        <v>-0.01</v>
      </c>
      <c r="D3" s="2">
        <v>0</v>
      </c>
      <c r="E3" s="2" t="s">
        <v>96</v>
      </c>
    </row>
    <row r="4" spans="1:5" x14ac:dyDescent="0.3">
      <c r="A4" s="2">
        <v>103</v>
      </c>
      <c r="B4" s="2" t="s">
        <v>27</v>
      </c>
      <c r="C4" s="2">
        <v>0.03</v>
      </c>
      <c r="D4" s="2">
        <v>0</v>
      </c>
      <c r="E4" s="2" t="s">
        <v>97</v>
      </c>
    </row>
    <row r="5" spans="1:5" x14ac:dyDescent="0.3">
      <c r="A5" s="2">
        <v>104</v>
      </c>
      <c r="B5" s="2" t="s">
        <v>28</v>
      </c>
      <c r="C5" s="2">
        <v>-0.03</v>
      </c>
      <c r="D5" s="2">
        <v>0</v>
      </c>
      <c r="E5" s="2" t="s">
        <v>98</v>
      </c>
    </row>
    <row r="6" spans="1:5" x14ac:dyDescent="0.3">
      <c r="A6" s="2">
        <v>105</v>
      </c>
      <c r="B6" s="2" t="s">
        <v>46</v>
      </c>
      <c r="C6" s="2">
        <v>0.05</v>
      </c>
      <c r="D6" s="2">
        <v>0</v>
      </c>
      <c r="E6" s="2" t="s">
        <v>99</v>
      </c>
    </row>
    <row r="7" spans="1:5" x14ac:dyDescent="0.3">
      <c r="A7" s="2">
        <v>106</v>
      </c>
      <c r="B7" s="2" t="s">
        <v>47</v>
      </c>
      <c r="C7" s="2">
        <v>-0.05</v>
      </c>
      <c r="D7" s="2">
        <v>0</v>
      </c>
      <c r="E7" s="2" t="s">
        <v>100</v>
      </c>
    </row>
    <row r="8" spans="1:5" x14ac:dyDescent="0.3">
      <c r="A8" s="2">
        <v>201</v>
      </c>
      <c r="B8" s="2" t="s">
        <v>29</v>
      </c>
      <c r="C8" s="2">
        <v>-0.03</v>
      </c>
      <c r="D8" s="2">
        <v>0</v>
      </c>
      <c r="E8" s="2" t="s">
        <v>103</v>
      </c>
    </row>
    <row r="9" spans="1:5" x14ac:dyDescent="0.3">
      <c r="A9" s="2">
        <v>202</v>
      </c>
      <c r="B9" s="2" t="s">
        <v>30</v>
      </c>
      <c r="C9" s="2">
        <v>0.01</v>
      </c>
      <c r="D9" s="2">
        <v>201</v>
      </c>
      <c r="E9" s="2" t="s">
        <v>101</v>
      </c>
    </row>
    <row r="10" spans="1:5" x14ac:dyDescent="0.3">
      <c r="A10" s="2">
        <v>203</v>
      </c>
      <c r="B10" s="2" t="s">
        <v>31</v>
      </c>
      <c r="C10" s="2">
        <v>0.02</v>
      </c>
      <c r="D10" s="2">
        <v>202</v>
      </c>
      <c r="E10" s="2" t="s">
        <v>102</v>
      </c>
    </row>
    <row r="11" spans="1:5" x14ac:dyDescent="0.3">
      <c r="A11" s="2">
        <v>211</v>
      </c>
      <c r="B11" s="2" t="s">
        <v>32</v>
      </c>
      <c r="C11" s="2">
        <v>0.05</v>
      </c>
      <c r="D11" s="2">
        <v>0</v>
      </c>
      <c r="E11" s="2" t="s">
        <v>33</v>
      </c>
    </row>
    <row r="12" spans="1:5" x14ac:dyDescent="0.3">
      <c r="A12" s="2">
        <v>212</v>
      </c>
      <c r="B12" s="2" t="s">
        <v>34</v>
      </c>
      <c r="C12" s="2">
        <v>-0.05</v>
      </c>
      <c r="D12" s="2">
        <v>0</v>
      </c>
      <c r="E12" s="2" t="s">
        <v>35</v>
      </c>
    </row>
    <row r="13" spans="1:5" x14ac:dyDescent="0.3">
      <c r="A13" s="2">
        <v>213</v>
      </c>
      <c r="B13" s="2" t="s">
        <v>36</v>
      </c>
      <c r="C13" s="2">
        <v>0.03</v>
      </c>
      <c r="D13" s="2">
        <v>0</v>
      </c>
      <c r="E13" s="2" t="s">
        <v>37</v>
      </c>
    </row>
    <row r="14" spans="1:5" x14ac:dyDescent="0.3">
      <c r="A14" s="2">
        <v>214</v>
      </c>
      <c r="B14" s="2" t="s">
        <v>38</v>
      </c>
      <c r="C14" s="2">
        <v>-0.03</v>
      </c>
      <c r="D14" s="2">
        <v>213</v>
      </c>
      <c r="E14" s="2" t="s">
        <v>39</v>
      </c>
    </row>
    <row r="15" spans="1:5" x14ac:dyDescent="0.3">
      <c r="A15" s="2">
        <v>301</v>
      </c>
      <c r="B15" s="2" t="s">
        <v>40</v>
      </c>
      <c r="C15" s="2">
        <v>0.03</v>
      </c>
      <c r="D15" s="2">
        <v>0</v>
      </c>
      <c r="E15" s="2" t="s">
        <v>104</v>
      </c>
    </row>
    <row r="16" spans="1:5" x14ac:dyDescent="0.3">
      <c r="A16" s="2">
        <v>302</v>
      </c>
      <c r="B16" s="2" t="s">
        <v>41</v>
      </c>
      <c r="C16" s="2">
        <v>-0.03</v>
      </c>
      <c r="D16" s="2">
        <v>0</v>
      </c>
      <c r="E16" s="2" t="s">
        <v>105</v>
      </c>
    </row>
    <row r="17" spans="1:5" x14ac:dyDescent="0.3">
      <c r="A17" s="2">
        <v>303</v>
      </c>
      <c r="B17" s="2" t="s">
        <v>42</v>
      </c>
      <c r="C17" s="2">
        <v>0.04</v>
      </c>
      <c r="D17" s="2">
        <v>302</v>
      </c>
      <c r="E17" s="2" t="s">
        <v>109</v>
      </c>
    </row>
    <row r="18" spans="1:5" x14ac:dyDescent="0.3">
      <c r="A18" s="2">
        <v>304</v>
      </c>
      <c r="B18" s="2" t="s">
        <v>45</v>
      </c>
      <c r="C18" s="2">
        <v>-0.02</v>
      </c>
      <c r="D18" s="2">
        <v>302</v>
      </c>
      <c r="E18" s="2" t="s">
        <v>106</v>
      </c>
    </row>
    <row r="19" spans="1:5" x14ac:dyDescent="0.3">
      <c r="A19" s="2">
        <v>311</v>
      </c>
      <c r="B19" s="2" t="s">
        <v>43</v>
      </c>
      <c r="C19" s="2">
        <v>0.04</v>
      </c>
      <c r="D19" s="2">
        <v>0</v>
      </c>
      <c r="E19" s="2" t="s">
        <v>107</v>
      </c>
    </row>
    <row r="20" spans="1:5" x14ac:dyDescent="0.3">
      <c r="A20" s="2">
        <v>312</v>
      </c>
      <c r="B20" s="2" t="s">
        <v>44</v>
      </c>
      <c r="C20" s="2">
        <v>-0.03</v>
      </c>
      <c r="D20" s="2">
        <v>0</v>
      </c>
      <c r="E20" s="2" t="s">
        <v>108</v>
      </c>
    </row>
  </sheetData>
  <sortState xmlns:xlrd2="http://schemas.microsoft.com/office/spreadsheetml/2017/richdata2" ref="A2:E20">
    <sortCondition ref="A2:A20"/>
  </sortState>
  <phoneticPr fontId="18" type="noConversion"/>
  <conditionalFormatting sqref="A2:A20">
    <cfRule type="expression" dxfId="22" priority="1">
      <formula>AND(A2 &gt; 300, A2 &lt; 400)</formula>
    </cfRule>
    <cfRule type="expression" dxfId="21" priority="2">
      <formula>AND(A2 &gt; 200, A2 &lt; 300)</formula>
    </cfRule>
    <cfRule type="expression" dxfId="20" priority="3">
      <formula>AND(A2 &gt; 100, A2 &lt; 200)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613AC-7E74-42D9-8201-7830AAD06556}">
  <dimension ref="A1:F4"/>
  <sheetViews>
    <sheetView workbookViewId="0">
      <selection activeCell="M14" sqref="M14:N19"/>
    </sheetView>
  </sheetViews>
  <sheetFormatPr defaultRowHeight="16.5" x14ac:dyDescent="0.3"/>
  <cols>
    <col min="1" max="1" width="9.75" style="3" bestFit="1" customWidth="1"/>
    <col min="2" max="2" width="13.125" style="3" bestFit="1" customWidth="1"/>
    <col min="3" max="3" width="8.375" style="3" bestFit="1" customWidth="1"/>
    <col min="4" max="4" width="7.25" style="3" bestFit="1" customWidth="1"/>
    <col min="5" max="5" width="12.875" style="3" bestFit="1" customWidth="1"/>
    <col min="6" max="6" width="10.5" style="3" bestFit="1" customWidth="1"/>
    <col min="7" max="9" width="6.75" style="3" bestFit="1" customWidth="1"/>
    <col min="10" max="16384" width="9" style="3"/>
  </cols>
  <sheetData>
    <row r="1" spans="1:6" s="1" customFormat="1" x14ac:dyDescent="0.3">
      <c r="A1" s="1" t="s">
        <v>54</v>
      </c>
      <c r="B1" s="1" t="s">
        <v>48</v>
      </c>
      <c r="C1" s="1" t="s">
        <v>63</v>
      </c>
      <c r="D1" s="1" t="s">
        <v>64</v>
      </c>
      <c r="E1" s="1" t="s">
        <v>52</v>
      </c>
      <c r="F1" s="4" t="s">
        <v>53</v>
      </c>
    </row>
    <row r="2" spans="1:6" x14ac:dyDescent="0.3">
      <c r="A2" s="3" t="s">
        <v>55</v>
      </c>
      <c r="B2" s="3">
        <v>0</v>
      </c>
      <c r="C2" s="3">
        <v>5</v>
      </c>
      <c r="D2" s="3">
        <v>3</v>
      </c>
      <c r="E2" s="3">
        <v>0.5</v>
      </c>
      <c r="F2" s="3">
        <v>2</v>
      </c>
    </row>
    <row r="3" spans="1:6" x14ac:dyDescent="0.3">
      <c r="A3" s="3" t="s">
        <v>56</v>
      </c>
      <c r="B3" s="3">
        <v>10000</v>
      </c>
      <c r="C3" s="3">
        <v>20</v>
      </c>
      <c r="D3" s="3">
        <v>2</v>
      </c>
      <c r="E3" s="3">
        <v>4</v>
      </c>
      <c r="F3" s="3">
        <v>6</v>
      </c>
    </row>
    <row r="4" spans="1:6" x14ac:dyDescent="0.3">
      <c r="A4" s="3" t="s">
        <v>57</v>
      </c>
      <c r="B4" s="3">
        <v>20000</v>
      </c>
      <c r="C4" s="3">
        <v>40</v>
      </c>
      <c r="D4" s="3">
        <v>5</v>
      </c>
      <c r="E4" s="3">
        <v>2</v>
      </c>
      <c r="F4" s="3">
        <v>4</v>
      </c>
    </row>
  </sheetData>
  <phoneticPr fontId="18" type="noConversion"/>
  <conditionalFormatting sqref="A1:A1048576">
    <cfRule type="expression" dxfId="19" priority="1">
      <formula>Prototype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291B3-9102-4FF1-A4AF-13D65BEE1B70}">
  <dimension ref="A1:F13"/>
  <sheetViews>
    <sheetView workbookViewId="0">
      <selection activeCell="D27" sqref="D12:M27"/>
    </sheetView>
  </sheetViews>
  <sheetFormatPr defaultRowHeight="16.5" x14ac:dyDescent="0.3"/>
  <cols>
    <col min="1" max="1" width="10.875" style="2" bestFit="1" customWidth="1"/>
    <col min="2" max="2" width="9.75" style="2" bestFit="1" customWidth="1"/>
    <col min="3" max="3" width="5.75" style="2" bestFit="1" customWidth="1"/>
    <col min="4" max="4" width="13.125" style="2" bestFit="1" customWidth="1"/>
    <col min="5" max="5" width="12.875" style="2" bestFit="1" customWidth="1"/>
    <col min="6" max="6" width="6.375" style="2" bestFit="1" customWidth="1"/>
    <col min="7" max="16384" width="9" style="2"/>
  </cols>
  <sheetData>
    <row r="1" spans="1:6" s="1" customFormat="1" x14ac:dyDescent="0.3">
      <c r="A1" s="1" t="s">
        <v>59</v>
      </c>
      <c r="B1" s="1" t="s">
        <v>54</v>
      </c>
      <c r="C1" s="1" t="s">
        <v>58</v>
      </c>
      <c r="D1" s="1" t="s">
        <v>49</v>
      </c>
      <c r="E1" s="1" t="s">
        <v>50</v>
      </c>
      <c r="F1" s="1" t="s">
        <v>51</v>
      </c>
    </row>
    <row r="2" spans="1:6" x14ac:dyDescent="0.3">
      <c r="B2" s="3"/>
      <c r="C2" s="3"/>
      <c r="D2" s="3"/>
      <c r="E2" s="3"/>
      <c r="F2" s="3"/>
    </row>
    <row r="3" spans="1:6" x14ac:dyDescent="0.3">
      <c r="B3" s="3"/>
      <c r="C3" s="3"/>
      <c r="D3" s="3"/>
      <c r="E3" s="3"/>
      <c r="F3" s="3"/>
    </row>
    <row r="4" spans="1:6" x14ac:dyDescent="0.3">
      <c r="B4" s="3"/>
      <c r="C4" s="3"/>
      <c r="D4" s="3"/>
      <c r="E4" s="3"/>
      <c r="F4" s="3"/>
    </row>
    <row r="5" spans="1:6" x14ac:dyDescent="0.3">
      <c r="B5" s="3"/>
      <c r="C5" s="3"/>
      <c r="D5" s="3"/>
      <c r="E5" s="3"/>
      <c r="F5" s="3"/>
    </row>
    <row r="6" spans="1:6" x14ac:dyDescent="0.3">
      <c r="B6" s="3"/>
      <c r="C6" s="3"/>
      <c r="D6" s="3"/>
      <c r="E6" s="3"/>
      <c r="F6" s="3"/>
    </row>
    <row r="7" spans="1:6" x14ac:dyDescent="0.3">
      <c r="B7" s="3"/>
      <c r="C7" s="3"/>
      <c r="D7" s="3"/>
      <c r="E7" s="3"/>
      <c r="F7" s="3"/>
    </row>
    <row r="8" spans="1:6" x14ac:dyDescent="0.3">
      <c r="B8" s="3"/>
      <c r="C8" s="3"/>
      <c r="D8" s="3"/>
      <c r="E8" s="3"/>
      <c r="F8" s="3"/>
    </row>
    <row r="9" spans="1:6" x14ac:dyDescent="0.3">
      <c r="B9" s="3"/>
      <c r="C9" s="3"/>
      <c r="D9" s="3"/>
      <c r="E9" s="3"/>
      <c r="F9" s="3"/>
    </row>
    <row r="10" spans="1:6" x14ac:dyDescent="0.3">
      <c r="B10" s="3"/>
      <c r="C10" s="3"/>
      <c r="D10" s="3"/>
      <c r="E10" s="3"/>
      <c r="F10" s="3"/>
    </row>
    <row r="11" spans="1:6" x14ac:dyDescent="0.3">
      <c r="B11" s="3"/>
      <c r="C11" s="3"/>
      <c r="D11" s="3"/>
      <c r="E11" s="3"/>
      <c r="F11" s="3"/>
    </row>
    <row r="12" spans="1:6" x14ac:dyDescent="0.3">
      <c r="B12" s="3"/>
      <c r="C12" s="3"/>
      <c r="D12" s="3"/>
      <c r="E12" s="3"/>
      <c r="F12" s="3"/>
    </row>
    <row r="13" spans="1:6" x14ac:dyDescent="0.3">
      <c r="B13" s="3"/>
      <c r="C13" s="3"/>
      <c r="D13" s="3"/>
      <c r="E13" s="3"/>
      <c r="F13" s="3"/>
    </row>
  </sheetData>
  <sortState xmlns:xlrd2="http://schemas.microsoft.com/office/spreadsheetml/2017/richdata2" ref="B2:F6">
    <sortCondition descending="1" ref="B2:B6"/>
  </sortState>
  <phoneticPr fontId="18" type="noConversion"/>
  <conditionalFormatting sqref="B1:B13">
    <cfRule type="expression" dxfId="18" priority="1">
      <formula>Prototype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ItemDataTable</vt:lpstr>
      <vt:lpstr>ItemDataTable_Meta</vt:lpstr>
      <vt:lpstr>ProductDataTable</vt:lpstr>
      <vt:lpstr>ProductDataTable_Meta</vt:lpstr>
      <vt:lpstr>EventDataTable</vt:lpstr>
      <vt:lpstr>RobotDataTable</vt:lpstr>
      <vt:lpstr>UpgradeDataTable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문선우</cp:lastModifiedBy>
  <cp:lastPrinted>2026-03-11T15:58:05Z</cp:lastPrinted>
  <dcterms:created xsi:type="dcterms:W3CDTF">2026-02-24T15:34:59Z</dcterms:created>
  <dcterms:modified xsi:type="dcterms:W3CDTF">2026-03-15T11:40:55Z</dcterms:modified>
</cp:coreProperties>
</file>